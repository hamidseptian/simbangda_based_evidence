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ile Hamid\D\DPA\Upload ke SBE\Excel - Export\"/>
    </mc:Choice>
  </mc:AlternateContent>
  <bookViews>
    <workbookView xWindow="120" yWindow="15" windowWidth="18960" windowHeight="11325"/>
  </bookViews>
  <sheets>
    <sheet name="Table 1" sheetId="1" r:id="rId1"/>
    <sheet name="Table 2" sheetId="2" r:id="rId2"/>
  </sheets>
  <calcPr calcId="152511"/>
</workbook>
</file>

<file path=xl/calcChain.xml><?xml version="1.0" encoding="utf-8"?>
<calcChain xmlns="http://schemas.openxmlformats.org/spreadsheetml/2006/main">
  <c r="S7" i="1" l="1"/>
  <c r="T7" i="1"/>
  <c r="U7" i="1"/>
  <c r="V7" i="1"/>
  <c r="W7" i="1"/>
  <c r="X7" i="1"/>
  <c r="Y7" i="1"/>
  <c r="Z7" i="1"/>
  <c r="AA7" i="1"/>
  <c r="AB7" i="1"/>
  <c r="AC7" i="1"/>
  <c r="AD7" i="1"/>
  <c r="S8" i="1"/>
  <c r="T8" i="1"/>
  <c r="U8" i="1"/>
  <c r="V8" i="1"/>
  <c r="W8" i="1"/>
  <c r="X8" i="1"/>
  <c r="Y8" i="1"/>
  <c r="Z8" i="1"/>
  <c r="AA8" i="1"/>
  <c r="AB8" i="1"/>
  <c r="AC8" i="1"/>
  <c r="AD8" i="1"/>
  <c r="S9" i="1"/>
  <c r="T9" i="1"/>
  <c r="U9" i="1"/>
  <c r="V9" i="1"/>
  <c r="W9" i="1"/>
  <c r="X9" i="1"/>
  <c r="Y9" i="1"/>
  <c r="Z9" i="1"/>
  <c r="AA9" i="1"/>
  <c r="AB9" i="1"/>
  <c r="AC9" i="1"/>
  <c r="AD9" i="1"/>
  <c r="S10" i="1"/>
  <c r="T10" i="1"/>
  <c r="U10" i="1"/>
  <c r="V10" i="1"/>
  <c r="W10" i="1"/>
  <c r="X10" i="1"/>
  <c r="Y10" i="1"/>
  <c r="Z10" i="1"/>
  <c r="AA10" i="1"/>
  <c r="AB10" i="1"/>
  <c r="AC10" i="1"/>
  <c r="AD10" i="1"/>
  <c r="S11" i="1"/>
  <c r="T11" i="1"/>
  <c r="U11" i="1"/>
  <c r="V11" i="1"/>
  <c r="W11" i="1"/>
  <c r="X11" i="1"/>
  <c r="Y11" i="1"/>
  <c r="Z11" i="1"/>
  <c r="AA11" i="1"/>
  <c r="AB11" i="1"/>
  <c r="AC11" i="1"/>
  <c r="AD11" i="1"/>
  <c r="S12" i="1"/>
  <c r="T12" i="1"/>
  <c r="U12" i="1"/>
  <c r="V12" i="1"/>
  <c r="W12" i="1"/>
  <c r="X12" i="1"/>
  <c r="Y12" i="1"/>
  <c r="Z12" i="1"/>
  <c r="AA12" i="1"/>
  <c r="AB12" i="1"/>
  <c r="AC12" i="1"/>
  <c r="AD12" i="1"/>
  <c r="S13" i="1"/>
  <c r="T13" i="1"/>
  <c r="U13" i="1"/>
  <c r="V13" i="1"/>
  <c r="W13" i="1"/>
  <c r="X13" i="1"/>
  <c r="Y13" i="1"/>
  <c r="Z13" i="1"/>
  <c r="AA13" i="1"/>
  <c r="AB13" i="1"/>
  <c r="AC13" i="1"/>
  <c r="AD13" i="1"/>
  <c r="S14" i="1"/>
  <c r="T14" i="1"/>
  <c r="U14" i="1"/>
  <c r="V14" i="1"/>
  <c r="W14" i="1"/>
  <c r="X14" i="1"/>
  <c r="Y14" i="1"/>
  <c r="Z14" i="1"/>
  <c r="AA14" i="1"/>
  <c r="AB14" i="1"/>
  <c r="AC14" i="1"/>
  <c r="AD14" i="1"/>
  <c r="S15" i="1"/>
  <c r="T15" i="1"/>
  <c r="U15" i="1"/>
  <c r="V15" i="1"/>
  <c r="W15" i="1"/>
  <c r="X15" i="1"/>
  <c r="Y15" i="1"/>
  <c r="Z15" i="1"/>
  <c r="AA15" i="1"/>
  <c r="AB15" i="1"/>
  <c r="AC15" i="1"/>
  <c r="AD15" i="1"/>
  <c r="S16" i="1"/>
  <c r="T16" i="1"/>
  <c r="U16" i="1"/>
  <c r="V16" i="1"/>
  <c r="W16" i="1"/>
  <c r="X16" i="1"/>
  <c r="Y16" i="1"/>
  <c r="Z16" i="1"/>
  <c r="AA16" i="1"/>
  <c r="AB16" i="1"/>
  <c r="AC16" i="1"/>
  <c r="AD16" i="1"/>
  <c r="S17" i="1"/>
  <c r="T17" i="1"/>
  <c r="U17" i="1"/>
  <c r="V17" i="1"/>
  <c r="W17" i="1"/>
  <c r="X17" i="1"/>
  <c r="Y17" i="1"/>
  <c r="Z17" i="1"/>
  <c r="AA17" i="1"/>
  <c r="AB17" i="1"/>
  <c r="AC17" i="1"/>
  <c r="AD17" i="1"/>
  <c r="S18" i="1"/>
  <c r="T18" i="1"/>
  <c r="U18" i="1"/>
  <c r="V18" i="1"/>
  <c r="W18" i="1"/>
  <c r="X18" i="1"/>
  <c r="Y18" i="1"/>
  <c r="Z18" i="1"/>
  <c r="AA18" i="1"/>
  <c r="AB18" i="1"/>
  <c r="AC18" i="1"/>
  <c r="AD18" i="1"/>
  <c r="S19" i="1"/>
  <c r="T19" i="1"/>
  <c r="U19" i="1"/>
  <c r="V19" i="1"/>
  <c r="W19" i="1"/>
  <c r="X19" i="1"/>
  <c r="Y19" i="1"/>
  <c r="Z19" i="1"/>
  <c r="AA19" i="1"/>
  <c r="AB19" i="1"/>
  <c r="AC19" i="1"/>
  <c r="AD19" i="1"/>
  <c r="S20" i="1"/>
  <c r="T20" i="1"/>
  <c r="U20" i="1"/>
  <c r="V20" i="1"/>
  <c r="W20" i="1"/>
  <c r="X20" i="1"/>
  <c r="Y20" i="1"/>
  <c r="Z20" i="1"/>
  <c r="AA20" i="1"/>
  <c r="AB20" i="1"/>
  <c r="AC20" i="1"/>
  <c r="AD20" i="1"/>
  <c r="S21" i="1"/>
  <c r="T21" i="1"/>
  <c r="U21" i="1"/>
  <c r="V21" i="1"/>
  <c r="W21" i="1"/>
  <c r="X21" i="1"/>
  <c r="Y21" i="1"/>
  <c r="Z21" i="1"/>
  <c r="AA21" i="1"/>
  <c r="AB21" i="1"/>
  <c r="AC21" i="1"/>
  <c r="AD21" i="1"/>
  <c r="S22" i="1"/>
  <c r="T22" i="1"/>
  <c r="U22" i="1"/>
  <c r="V22" i="1"/>
  <c r="W22" i="1"/>
  <c r="X22" i="1"/>
  <c r="Y22" i="1"/>
  <c r="Z22" i="1"/>
  <c r="AA22" i="1"/>
  <c r="AB22" i="1"/>
  <c r="AC22" i="1"/>
  <c r="AD22" i="1"/>
  <c r="S23" i="1"/>
  <c r="T23" i="1"/>
  <c r="U23" i="1"/>
  <c r="V23" i="1"/>
  <c r="W23" i="1"/>
  <c r="X23" i="1"/>
  <c r="Y23" i="1"/>
  <c r="Z23" i="1"/>
  <c r="AA23" i="1"/>
  <c r="AB23" i="1"/>
  <c r="AC23" i="1"/>
  <c r="AD23" i="1"/>
  <c r="S24" i="1"/>
  <c r="T24" i="1"/>
  <c r="U24" i="1"/>
  <c r="V24" i="1"/>
  <c r="W24" i="1"/>
  <c r="X24" i="1"/>
  <c r="Y24" i="1"/>
  <c r="Z24" i="1"/>
  <c r="AA24" i="1"/>
  <c r="AB24" i="1"/>
  <c r="AC24" i="1"/>
  <c r="AD24" i="1"/>
  <c r="S25" i="1"/>
  <c r="T25" i="1"/>
  <c r="U25" i="1"/>
  <c r="V25" i="1"/>
  <c r="W25" i="1"/>
  <c r="X25" i="1"/>
  <c r="Y25" i="1"/>
  <c r="Z25" i="1"/>
  <c r="AA25" i="1"/>
  <c r="AB25" i="1"/>
  <c r="AC25" i="1"/>
  <c r="AD25" i="1"/>
  <c r="S26" i="1"/>
  <c r="T26" i="1"/>
  <c r="U26" i="1"/>
  <c r="V26" i="1"/>
  <c r="W26" i="1"/>
  <c r="X26" i="1"/>
  <c r="Y26" i="1"/>
  <c r="Z26" i="1"/>
  <c r="AA26" i="1"/>
  <c r="AB26" i="1"/>
  <c r="AC26" i="1"/>
  <c r="AD26" i="1"/>
  <c r="S27" i="1"/>
  <c r="T27" i="1"/>
  <c r="U27" i="1"/>
  <c r="V27" i="1"/>
  <c r="W27" i="1"/>
  <c r="X27" i="1"/>
  <c r="Y27" i="1"/>
  <c r="Z27" i="1"/>
  <c r="AA27" i="1"/>
  <c r="AB27" i="1"/>
  <c r="AC27" i="1"/>
  <c r="AD27" i="1"/>
  <c r="S28" i="1"/>
  <c r="T28" i="1"/>
  <c r="U28" i="1"/>
  <c r="V28" i="1"/>
  <c r="W28" i="1"/>
  <c r="X28" i="1"/>
  <c r="Y28" i="1"/>
  <c r="Z28" i="1"/>
  <c r="AA28" i="1"/>
  <c r="AB28" i="1"/>
  <c r="AC28" i="1"/>
  <c r="AD28" i="1"/>
  <c r="S29" i="1"/>
  <c r="T29" i="1"/>
  <c r="U29" i="1"/>
  <c r="V29" i="1"/>
  <c r="W29" i="1"/>
  <c r="X29" i="1"/>
  <c r="Y29" i="1"/>
  <c r="Z29" i="1"/>
  <c r="AA29" i="1"/>
  <c r="AB29" i="1"/>
  <c r="AC29" i="1"/>
  <c r="AD29" i="1"/>
  <c r="S30" i="1"/>
  <c r="T30" i="1"/>
  <c r="U30" i="1"/>
  <c r="V30" i="1"/>
  <c r="W30" i="1"/>
  <c r="X30" i="1"/>
  <c r="Y30" i="1"/>
  <c r="Z30" i="1"/>
  <c r="AA30" i="1"/>
  <c r="AB30" i="1"/>
  <c r="AC30" i="1"/>
  <c r="AD30" i="1"/>
  <c r="S31" i="1"/>
  <c r="T31" i="1"/>
  <c r="U31" i="1"/>
  <c r="V31" i="1"/>
  <c r="W31" i="1"/>
  <c r="X31" i="1"/>
  <c r="Y31" i="1"/>
  <c r="Z31" i="1"/>
  <c r="AA31" i="1"/>
  <c r="AB31" i="1"/>
  <c r="AC31" i="1"/>
  <c r="AD31" i="1"/>
  <c r="S32" i="1"/>
  <c r="T32" i="1"/>
  <c r="U32" i="1"/>
  <c r="V32" i="1"/>
  <c r="W32" i="1"/>
  <c r="X32" i="1"/>
  <c r="Y32" i="1"/>
  <c r="Z32" i="1"/>
  <c r="AA32" i="1"/>
  <c r="AB32" i="1"/>
  <c r="AC32" i="1"/>
  <c r="AD32" i="1"/>
  <c r="S33" i="1"/>
  <c r="T33" i="1"/>
  <c r="U33" i="1"/>
  <c r="V33" i="1"/>
  <c r="W33" i="1"/>
  <c r="X33" i="1"/>
  <c r="Y33" i="1"/>
  <c r="Z33" i="1"/>
  <c r="AA33" i="1"/>
  <c r="AB33" i="1"/>
  <c r="AC33" i="1"/>
  <c r="AD33" i="1"/>
  <c r="S34" i="1"/>
  <c r="T34" i="1"/>
  <c r="U34" i="1"/>
  <c r="V34" i="1"/>
  <c r="W34" i="1"/>
  <c r="X34" i="1"/>
  <c r="Y34" i="1"/>
  <c r="Z34" i="1"/>
  <c r="AA34" i="1"/>
  <c r="AB34" i="1"/>
  <c r="AC34" i="1"/>
  <c r="AD34" i="1"/>
  <c r="S35" i="1"/>
  <c r="T35" i="1"/>
  <c r="U35" i="1"/>
  <c r="V35" i="1"/>
  <c r="W35" i="1"/>
  <c r="X35" i="1"/>
  <c r="Y35" i="1"/>
  <c r="Z35" i="1"/>
  <c r="AA35" i="1"/>
  <c r="AB35" i="1"/>
  <c r="AC35" i="1"/>
  <c r="AD35" i="1"/>
  <c r="S36" i="1"/>
  <c r="T36" i="1"/>
  <c r="U36" i="1"/>
  <c r="V36" i="1"/>
  <c r="W36" i="1"/>
  <c r="X36" i="1"/>
  <c r="Y36" i="1"/>
  <c r="Z36" i="1"/>
  <c r="AA36" i="1"/>
  <c r="AB36" i="1"/>
  <c r="AC36" i="1"/>
  <c r="AD36" i="1"/>
  <c r="S37" i="1"/>
  <c r="T37" i="1"/>
  <c r="U37" i="1"/>
  <c r="V37" i="1"/>
  <c r="W37" i="1"/>
  <c r="X37" i="1"/>
  <c r="Y37" i="1"/>
  <c r="Z37" i="1"/>
  <c r="AA37" i="1"/>
  <c r="AB37" i="1"/>
  <c r="AC37" i="1"/>
  <c r="AD37" i="1"/>
  <c r="S38" i="1"/>
  <c r="T38" i="1"/>
  <c r="U38" i="1"/>
  <c r="V38" i="1"/>
  <c r="W38" i="1"/>
  <c r="X38" i="1"/>
  <c r="Y38" i="1"/>
  <c r="Z38" i="1"/>
  <c r="AA38" i="1"/>
  <c r="AB38" i="1"/>
  <c r="AC38" i="1"/>
  <c r="AD38" i="1"/>
  <c r="S39" i="1"/>
  <c r="T39" i="1"/>
  <c r="U39" i="1"/>
  <c r="V39" i="1"/>
  <c r="W39" i="1"/>
  <c r="X39" i="1"/>
  <c r="Y39" i="1"/>
  <c r="Z39" i="1"/>
  <c r="AA39" i="1"/>
  <c r="AB39" i="1"/>
  <c r="AC39" i="1"/>
  <c r="AD39" i="1"/>
  <c r="S40" i="1"/>
  <c r="T40" i="1"/>
  <c r="U40" i="1"/>
  <c r="V40" i="1"/>
  <c r="W40" i="1"/>
  <c r="X40" i="1"/>
  <c r="Y40" i="1"/>
  <c r="Z40" i="1"/>
  <c r="AA40" i="1"/>
  <c r="AB40" i="1"/>
  <c r="AC40" i="1"/>
  <c r="AD40" i="1"/>
  <c r="S41" i="1"/>
  <c r="T41" i="1"/>
  <c r="U41" i="1"/>
  <c r="V41" i="1"/>
  <c r="W41" i="1"/>
  <c r="X41" i="1"/>
  <c r="Y41" i="1"/>
  <c r="Z41" i="1"/>
  <c r="AA41" i="1"/>
  <c r="AB41" i="1"/>
  <c r="AC41" i="1"/>
  <c r="AD41" i="1"/>
  <c r="S42" i="1"/>
  <c r="T42" i="1"/>
  <c r="U42" i="1"/>
  <c r="V42" i="1"/>
  <c r="W42" i="1"/>
  <c r="X42" i="1"/>
  <c r="Y42" i="1"/>
  <c r="Z42" i="1"/>
  <c r="AA42" i="1"/>
  <c r="AB42" i="1"/>
  <c r="AC42" i="1"/>
  <c r="AD42" i="1"/>
  <c r="S43" i="1"/>
  <c r="T43" i="1"/>
  <c r="U43" i="1"/>
  <c r="V43" i="1"/>
  <c r="W43" i="1"/>
  <c r="X43" i="1"/>
  <c r="Y43" i="1"/>
  <c r="Z43" i="1"/>
  <c r="AA43" i="1"/>
  <c r="AB43" i="1"/>
  <c r="AC43" i="1"/>
  <c r="AD43" i="1"/>
  <c r="S44" i="1"/>
  <c r="T44" i="1"/>
  <c r="U44" i="1"/>
  <c r="V44" i="1"/>
  <c r="W44" i="1"/>
  <c r="X44" i="1"/>
  <c r="Y44" i="1"/>
  <c r="Z44" i="1"/>
  <c r="AA44" i="1"/>
  <c r="AB44" i="1"/>
  <c r="AC44" i="1"/>
  <c r="AD44" i="1"/>
  <c r="S45" i="1"/>
  <c r="T45" i="1"/>
  <c r="U45" i="1"/>
  <c r="V45" i="1"/>
  <c r="W45" i="1"/>
  <c r="X45" i="1"/>
  <c r="Y45" i="1"/>
  <c r="Z45" i="1"/>
  <c r="AA45" i="1"/>
  <c r="AB45" i="1"/>
  <c r="AC45" i="1"/>
  <c r="AD45" i="1"/>
  <c r="S46" i="1"/>
  <c r="T46" i="1"/>
  <c r="U46" i="1"/>
  <c r="V46" i="1"/>
  <c r="W46" i="1"/>
  <c r="X46" i="1"/>
  <c r="Y46" i="1"/>
  <c r="Z46" i="1"/>
  <c r="AA46" i="1"/>
  <c r="AB46" i="1"/>
  <c r="AC46" i="1"/>
  <c r="AD46" i="1"/>
  <c r="S47" i="1"/>
  <c r="T47" i="1"/>
  <c r="U47" i="1"/>
  <c r="V47" i="1"/>
  <c r="W47" i="1"/>
  <c r="X47" i="1"/>
  <c r="Y47" i="1"/>
  <c r="Z47" i="1"/>
  <c r="AA47" i="1"/>
  <c r="AB47" i="1"/>
  <c r="AC47" i="1"/>
  <c r="AD47" i="1"/>
  <c r="S48" i="1"/>
  <c r="T48" i="1"/>
  <c r="U48" i="1"/>
  <c r="V48" i="1"/>
  <c r="W48" i="1"/>
  <c r="X48" i="1"/>
  <c r="Y48" i="1"/>
  <c r="Z48" i="1"/>
  <c r="AA48" i="1"/>
  <c r="AB48" i="1"/>
  <c r="AC48" i="1"/>
  <c r="AD48" i="1"/>
  <c r="S49" i="1"/>
  <c r="T49" i="1"/>
  <c r="U49" i="1"/>
  <c r="V49" i="1"/>
  <c r="W49" i="1"/>
  <c r="X49" i="1"/>
  <c r="Y49" i="1"/>
  <c r="Z49" i="1"/>
  <c r="AA49" i="1"/>
  <c r="AB49" i="1"/>
  <c r="AC49" i="1"/>
  <c r="AD49" i="1"/>
  <c r="S50" i="1"/>
  <c r="T50" i="1"/>
  <c r="U50" i="1"/>
  <c r="V50" i="1"/>
  <c r="W50" i="1"/>
  <c r="X50" i="1"/>
  <c r="Y50" i="1"/>
  <c r="Z50" i="1"/>
  <c r="AA50" i="1"/>
  <c r="AB50" i="1"/>
  <c r="AC50" i="1"/>
  <c r="AD50" i="1"/>
  <c r="S51" i="1"/>
  <c r="T51" i="1"/>
  <c r="U51" i="1"/>
  <c r="V51" i="1"/>
  <c r="W51" i="1"/>
  <c r="X51" i="1"/>
  <c r="Y51" i="1"/>
  <c r="Z51" i="1"/>
  <c r="AA51" i="1"/>
  <c r="AB51" i="1"/>
  <c r="AC51" i="1"/>
  <c r="AD51" i="1"/>
  <c r="S52" i="1"/>
  <c r="T52" i="1"/>
  <c r="U52" i="1"/>
  <c r="V52" i="1"/>
  <c r="W52" i="1"/>
  <c r="X52" i="1"/>
  <c r="Y52" i="1"/>
  <c r="Z52" i="1"/>
  <c r="AA52" i="1"/>
  <c r="AB52" i="1"/>
  <c r="AC52" i="1"/>
  <c r="AD52" i="1"/>
  <c r="S53" i="1"/>
  <c r="T53" i="1"/>
  <c r="U53" i="1"/>
  <c r="V53" i="1"/>
  <c r="W53" i="1"/>
  <c r="X53" i="1"/>
  <c r="Y53" i="1"/>
  <c r="Z53" i="1"/>
  <c r="AA53" i="1"/>
  <c r="AB53" i="1"/>
  <c r="AC53" i="1"/>
  <c r="AD53" i="1"/>
  <c r="S54" i="1"/>
  <c r="T54" i="1"/>
  <c r="U54" i="1"/>
  <c r="V54" i="1"/>
  <c r="W54" i="1"/>
  <c r="X54" i="1"/>
  <c r="Y54" i="1"/>
  <c r="Z54" i="1"/>
  <c r="AA54" i="1"/>
  <c r="AB54" i="1"/>
  <c r="AC54" i="1"/>
  <c r="AD54" i="1"/>
  <c r="S55" i="1"/>
  <c r="T55" i="1"/>
  <c r="U55" i="1"/>
  <c r="V55" i="1"/>
  <c r="W55" i="1"/>
  <c r="X55" i="1"/>
  <c r="Y55" i="1"/>
  <c r="Z55" i="1"/>
  <c r="AA55" i="1"/>
  <c r="AB55" i="1"/>
  <c r="AC55" i="1"/>
  <c r="AD55" i="1"/>
  <c r="S56" i="1"/>
  <c r="T56" i="1"/>
  <c r="U56" i="1"/>
  <c r="V56" i="1"/>
  <c r="W56" i="1"/>
  <c r="X56" i="1"/>
  <c r="Y56" i="1"/>
  <c r="Z56" i="1"/>
  <c r="AA56" i="1"/>
  <c r="AB56" i="1"/>
  <c r="AC56" i="1"/>
  <c r="AD56" i="1"/>
  <c r="S57" i="1"/>
  <c r="T57" i="1"/>
  <c r="U57" i="1"/>
  <c r="V57" i="1"/>
  <c r="W57" i="1"/>
  <c r="X57" i="1"/>
  <c r="Y57" i="1"/>
  <c r="Z57" i="1"/>
  <c r="AA57" i="1"/>
  <c r="AB57" i="1"/>
  <c r="AC57" i="1"/>
  <c r="AD57" i="1"/>
  <c r="S58" i="1"/>
  <c r="T58" i="1"/>
  <c r="U58" i="1"/>
  <c r="V58" i="1"/>
  <c r="W58" i="1"/>
  <c r="X58" i="1"/>
  <c r="Y58" i="1"/>
  <c r="Z58" i="1"/>
  <c r="AA58" i="1"/>
  <c r="AB58" i="1"/>
  <c r="AC58" i="1"/>
  <c r="AD58" i="1"/>
  <c r="S59" i="1"/>
  <c r="T59" i="1"/>
  <c r="U59" i="1"/>
  <c r="V59" i="1"/>
  <c r="W59" i="1"/>
  <c r="X59" i="1"/>
  <c r="Y59" i="1"/>
  <c r="Z59" i="1"/>
  <c r="AA59" i="1"/>
  <c r="AB59" i="1"/>
  <c r="AC59" i="1"/>
  <c r="AD59" i="1"/>
  <c r="S60" i="1"/>
  <c r="T60" i="1"/>
  <c r="U60" i="1"/>
  <c r="V60" i="1"/>
  <c r="W60" i="1"/>
  <c r="X60" i="1"/>
  <c r="Y60" i="1"/>
  <c r="Z60" i="1"/>
  <c r="AA60" i="1"/>
  <c r="AB60" i="1"/>
  <c r="AC60" i="1"/>
  <c r="AD60" i="1"/>
  <c r="S61" i="1"/>
  <c r="T61" i="1"/>
  <c r="U61" i="1"/>
  <c r="V61" i="1"/>
  <c r="W61" i="1"/>
  <c r="X61" i="1"/>
  <c r="Y61" i="1"/>
  <c r="Z61" i="1"/>
  <c r="AA61" i="1"/>
  <c r="AB61" i="1"/>
  <c r="AC61" i="1"/>
  <c r="AD61" i="1"/>
  <c r="S62" i="1"/>
  <c r="T62" i="1"/>
  <c r="U62" i="1"/>
  <c r="V62" i="1"/>
  <c r="W62" i="1"/>
  <c r="X62" i="1"/>
  <c r="Y62" i="1"/>
  <c r="Z62" i="1"/>
  <c r="AA62" i="1"/>
  <c r="AB62" i="1"/>
  <c r="AC62" i="1"/>
  <c r="AD62" i="1"/>
  <c r="S63" i="1"/>
  <c r="T63" i="1"/>
  <c r="U63" i="1"/>
  <c r="V63" i="1"/>
  <c r="W63" i="1"/>
  <c r="X63" i="1"/>
  <c r="Y63" i="1"/>
  <c r="Z63" i="1"/>
  <c r="AA63" i="1"/>
  <c r="AB63" i="1"/>
  <c r="AC63" i="1"/>
  <c r="AD63" i="1"/>
  <c r="S64" i="1"/>
  <c r="T64" i="1"/>
  <c r="U64" i="1"/>
  <c r="V64" i="1"/>
  <c r="W64" i="1"/>
  <c r="X64" i="1"/>
  <c r="Y64" i="1"/>
  <c r="Z64" i="1"/>
  <c r="AA64" i="1"/>
  <c r="AB64" i="1"/>
  <c r="AC64" i="1"/>
  <c r="AD64" i="1"/>
  <c r="S65" i="1"/>
  <c r="T65" i="1"/>
  <c r="U65" i="1"/>
  <c r="V65" i="1"/>
  <c r="W65" i="1"/>
  <c r="X65" i="1"/>
  <c r="Y65" i="1"/>
  <c r="Z65" i="1"/>
  <c r="AA65" i="1"/>
  <c r="AB65" i="1"/>
  <c r="AC65" i="1"/>
  <c r="AD65" i="1"/>
  <c r="S66" i="1"/>
  <c r="T66" i="1"/>
  <c r="U66" i="1"/>
  <c r="V66" i="1"/>
  <c r="W66" i="1"/>
  <c r="X66" i="1"/>
  <c r="Y66" i="1"/>
  <c r="Z66" i="1"/>
  <c r="AA66" i="1"/>
  <c r="AB66" i="1"/>
  <c r="AC66" i="1"/>
  <c r="AD66" i="1"/>
  <c r="S67" i="1"/>
  <c r="T67" i="1"/>
  <c r="U67" i="1"/>
  <c r="V67" i="1"/>
  <c r="W67" i="1"/>
  <c r="X67" i="1"/>
  <c r="Y67" i="1"/>
  <c r="Z67" i="1"/>
  <c r="AA67" i="1"/>
  <c r="AB67" i="1"/>
  <c r="AC67" i="1"/>
  <c r="AD67" i="1"/>
  <c r="S68" i="1"/>
  <c r="T68" i="1"/>
  <c r="U68" i="1"/>
  <c r="V68" i="1"/>
  <c r="W68" i="1"/>
  <c r="X68" i="1"/>
  <c r="Y68" i="1"/>
  <c r="Z68" i="1"/>
  <c r="AA68" i="1"/>
  <c r="AB68" i="1"/>
  <c r="AC68" i="1"/>
  <c r="AD68" i="1"/>
  <c r="S69" i="1"/>
  <c r="T69" i="1"/>
  <c r="U69" i="1"/>
  <c r="V69" i="1"/>
  <c r="W69" i="1"/>
  <c r="X69" i="1"/>
  <c r="Y69" i="1"/>
  <c r="Z69" i="1"/>
  <c r="AA69" i="1"/>
  <c r="AB69" i="1"/>
  <c r="AC69" i="1"/>
  <c r="AD69" i="1"/>
  <c r="S70" i="1"/>
  <c r="T70" i="1"/>
  <c r="U70" i="1"/>
  <c r="V70" i="1"/>
  <c r="W70" i="1"/>
  <c r="X70" i="1"/>
  <c r="Y70" i="1"/>
  <c r="Z70" i="1"/>
  <c r="AA70" i="1"/>
  <c r="AB70" i="1"/>
  <c r="AC70" i="1"/>
  <c r="AD70" i="1"/>
  <c r="S71" i="1"/>
  <c r="T71" i="1"/>
  <c r="U71" i="1"/>
  <c r="V71" i="1"/>
  <c r="W71" i="1"/>
  <c r="X71" i="1"/>
  <c r="Y71" i="1"/>
  <c r="Z71" i="1"/>
  <c r="AA71" i="1"/>
  <c r="AB71" i="1"/>
  <c r="AC71" i="1"/>
  <c r="AD71" i="1"/>
  <c r="S72" i="1"/>
  <c r="T72" i="1"/>
  <c r="U72" i="1"/>
  <c r="V72" i="1"/>
  <c r="W72" i="1"/>
  <c r="X72" i="1"/>
  <c r="Y72" i="1"/>
  <c r="Z72" i="1"/>
  <c r="AA72" i="1"/>
  <c r="AB72" i="1"/>
  <c r="AC72" i="1"/>
  <c r="AD72" i="1"/>
  <c r="S73" i="1"/>
  <c r="T73" i="1"/>
  <c r="U73" i="1"/>
  <c r="V73" i="1"/>
  <c r="W73" i="1"/>
  <c r="X73" i="1"/>
  <c r="Y73" i="1"/>
  <c r="Z73" i="1"/>
  <c r="AA73" i="1"/>
  <c r="AB73" i="1"/>
  <c r="AC73" i="1"/>
  <c r="AD73" i="1"/>
  <c r="S74" i="1"/>
  <c r="T74" i="1"/>
  <c r="U74" i="1"/>
  <c r="V74" i="1"/>
  <c r="W74" i="1"/>
  <c r="X74" i="1"/>
  <c r="Y74" i="1"/>
  <c r="Z74" i="1"/>
  <c r="AA74" i="1"/>
  <c r="AB74" i="1"/>
  <c r="AC74" i="1"/>
  <c r="AD74" i="1"/>
  <c r="S75" i="1"/>
  <c r="T75" i="1"/>
  <c r="U75" i="1"/>
  <c r="V75" i="1"/>
  <c r="W75" i="1"/>
  <c r="X75" i="1"/>
  <c r="Y75" i="1"/>
  <c r="Z75" i="1"/>
  <c r="AA75" i="1"/>
  <c r="AB75" i="1"/>
  <c r="AC75" i="1"/>
  <c r="AD75" i="1"/>
  <c r="S76" i="1"/>
  <c r="T76" i="1"/>
  <c r="U76" i="1"/>
  <c r="V76" i="1"/>
  <c r="W76" i="1"/>
  <c r="X76" i="1"/>
  <c r="Y76" i="1"/>
  <c r="Z76" i="1"/>
  <c r="AA76" i="1"/>
  <c r="AB76" i="1"/>
  <c r="AC76" i="1"/>
  <c r="AD76" i="1"/>
  <c r="S77" i="1"/>
  <c r="T77" i="1"/>
  <c r="U77" i="1"/>
  <c r="V77" i="1"/>
  <c r="W77" i="1"/>
  <c r="X77" i="1"/>
  <c r="Y77" i="1"/>
  <c r="Z77" i="1"/>
  <c r="AA77" i="1"/>
  <c r="AB77" i="1"/>
  <c r="AC77" i="1"/>
  <c r="AD77" i="1"/>
  <c r="S78" i="1"/>
  <c r="T78" i="1"/>
  <c r="U78" i="1"/>
  <c r="V78" i="1"/>
  <c r="W78" i="1"/>
  <c r="X78" i="1"/>
  <c r="Y78" i="1"/>
  <c r="Z78" i="1"/>
  <c r="AA78" i="1"/>
  <c r="AB78" i="1"/>
  <c r="AC78" i="1"/>
  <c r="AD78" i="1"/>
  <c r="S79" i="1"/>
  <c r="T79" i="1"/>
  <c r="U79" i="1"/>
  <c r="V79" i="1"/>
  <c r="W79" i="1"/>
  <c r="X79" i="1"/>
  <c r="Y79" i="1"/>
  <c r="Z79" i="1"/>
  <c r="AA79" i="1"/>
  <c r="AB79" i="1"/>
  <c r="AC79" i="1"/>
  <c r="AD79" i="1"/>
  <c r="S80" i="1"/>
  <c r="T80" i="1"/>
  <c r="U80" i="1"/>
  <c r="V80" i="1"/>
  <c r="W80" i="1"/>
  <c r="X80" i="1"/>
  <c r="Y80" i="1"/>
  <c r="Z80" i="1"/>
  <c r="AA80" i="1"/>
  <c r="AB80" i="1"/>
  <c r="AC80" i="1"/>
  <c r="AD80" i="1"/>
  <c r="S81" i="1"/>
  <c r="T81" i="1"/>
  <c r="U81" i="1"/>
  <c r="V81" i="1"/>
  <c r="W81" i="1"/>
  <c r="X81" i="1"/>
  <c r="Y81" i="1"/>
  <c r="Z81" i="1"/>
  <c r="AA81" i="1"/>
  <c r="AB81" i="1"/>
  <c r="AC81" i="1"/>
  <c r="AD81" i="1"/>
  <c r="S82" i="1"/>
  <c r="T82" i="1"/>
  <c r="U82" i="1"/>
  <c r="V82" i="1"/>
  <c r="W82" i="1"/>
  <c r="X82" i="1"/>
  <c r="Y82" i="1"/>
  <c r="Z82" i="1"/>
  <c r="AA82" i="1"/>
  <c r="AB82" i="1"/>
  <c r="AC82" i="1"/>
  <c r="AD82" i="1"/>
  <c r="S83" i="1"/>
  <c r="T83" i="1"/>
  <c r="U83" i="1"/>
  <c r="V83" i="1"/>
  <c r="W83" i="1"/>
  <c r="X83" i="1"/>
  <c r="Y83" i="1"/>
  <c r="Z83" i="1"/>
  <c r="AA83" i="1"/>
  <c r="AB83" i="1"/>
  <c r="AC83" i="1"/>
  <c r="AD83" i="1"/>
  <c r="S84" i="1"/>
  <c r="T84" i="1"/>
  <c r="U84" i="1"/>
  <c r="V84" i="1"/>
  <c r="W84" i="1"/>
  <c r="X84" i="1"/>
  <c r="Y84" i="1"/>
  <c r="Z84" i="1"/>
  <c r="AA84" i="1"/>
  <c r="AB84" i="1"/>
  <c r="AC84" i="1"/>
  <c r="AD84" i="1"/>
  <c r="S85" i="1"/>
  <c r="T85" i="1"/>
  <c r="U85" i="1"/>
  <c r="V85" i="1"/>
  <c r="W85" i="1"/>
  <c r="X85" i="1"/>
  <c r="Y85" i="1"/>
  <c r="Z85" i="1"/>
  <c r="AA85" i="1"/>
  <c r="AB85" i="1"/>
  <c r="AC85" i="1"/>
  <c r="AD85" i="1"/>
  <c r="S86" i="1"/>
  <c r="T86" i="1"/>
  <c r="U86" i="1"/>
  <c r="V86" i="1"/>
  <c r="W86" i="1"/>
  <c r="X86" i="1"/>
  <c r="Y86" i="1"/>
  <c r="Z86" i="1"/>
  <c r="AA86" i="1"/>
  <c r="AB86" i="1"/>
  <c r="AC86" i="1"/>
  <c r="AD86" i="1"/>
  <c r="S87" i="1"/>
  <c r="T87" i="1"/>
  <c r="U87" i="1"/>
  <c r="V87" i="1"/>
  <c r="W87" i="1"/>
  <c r="X87" i="1"/>
  <c r="Y87" i="1"/>
  <c r="Z87" i="1"/>
  <c r="AA87" i="1"/>
  <c r="AB87" i="1"/>
  <c r="AC87" i="1"/>
  <c r="AD87" i="1"/>
  <c r="S88" i="1"/>
  <c r="T88" i="1"/>
  <c r="U88" i="1"/>
  <c r="V88" i="1"/>
  <c r="W88" i="1"/>
  <c r="X88" i="1"/>
  <c r="Y88" i="1"/>
  <c r="Z88" i="1"/>
  <c r="AA88" i="1"/>
  <c r="AB88" i="1"/>
  <c r="AC88" i="1"/>
  <c r="AD88" i="1"/>
  <c r="S89" i="1"/>
  <c r="T89" i="1"/>
  <c r="U89" i="1"/>
  <c r="V89" i="1"/>
  <c r="W89" i="1"/>
  <c r="X89" i="1"/>
  <c r="Y89" i="1"/>
  <c r="Z89" i="1"/>
  <c r="AA89" i="1"/>
  <c r="AB89" i="1"/>
  <c r="AC89" i="1"/>
  <c r="AD89" i="1"/>
  <c r="S90" i="1"/>
  <c r="T90" i="1"/>
  <c r="U90" i="1"/>
  <c r="V90" i="1"/>
  <c r="W90" i="1"/>
  <c r="X90" i="1"/>
  <c r="Y90" i="1"/>
  <c r="Z90" i="1"/>
  <c r="AA90" i="1"/>
  <c r="AB90" i="1"/>
  <c r="AC90" i="1"/>
  <c r="AD90" i="1"/>
  <c r="S91" i="1"/>
  <c r="T91" i="1"/>
  <c r="U91" i="1"/>
  <c r="V91" i="1"/>
  <c r="W91" i="1"/>
  <c r="X91" i="1"/>
  <c r="Y91" i="1"/>
  <c r="Z91" i="1"/>
  <c r="AA91" i="1"/>
  <c r="AB91" i="1"/>
  <c r="AC91" i="1"/>
  <c r="AD91" i="1"/>
  <c r="S92" i="1"/>
  <c r="T92" i="1"/>
  <c r="U92" i="1"/>
  <c r="V92" i="1"/>
  <c r="W92" i="1"/>
  <c r="X92" i="1"/>
  <c r="Y92" i="1"/>
  <c r="Z92" i="1"/>
  <c r="AA92" i="1"/>
  <c r="AB92" i="1"/>
  <c r="AC92" i="1"/>
  <c r="AD92" i="1"/>
  <c r="S93" i="1"/>
  <c r="T93" i="1"/>
  <c r="U93" i="1"/>
  <c r="V93" i="1"/>
  <c r="W93" i="1"/>
  <c r="X93" i="1"/>
  <c r="Y93" i="1"/>
  <c r="Z93" i="1"/>
  <c r="AA93" i="1"/>
  <c r="AB93" i="1"/>
  <c r="AC93" i="1"/>
  <c r="AD93" i="1"/>
  <c r="S94" i="1"/>
  <c r="T94" i="1"/>
  <c r="U94" i="1"/>
  <c r="V94" i="1"/>
  <c r="W94" i="1"/>
  <c r="X94" i="1"/>
  <c r="Y94" i="1"/>
  <c r="Z94" i="1"/>
  <c r="AA94" i="1"/>
  <c r="AB94" i="1"/>
  <c r="AC94" i="1"/>
  <c r="AD94" i="1"/>
  <c r="S95" i="1"/>
  <c r="T95" i="1"/>
  <c r="U95" i="1"/>
  <c r="V95" i="1"/>
  <c r="W95" i="1"/>
  <c r="X95" i="1"/>
  <c r="Y95" i="1"/>
  <c r="Z95" i="1"/>
  <c r="AA95" i="1"/>
  <c r="AB95" i="1"/>
  <c r="AC95" i="1"/>
  <c r="AD95" i="1"/>
  <c r="S96" i="1"/>
  <c r="T96" i="1"/>
  <c r="U96" i="1"/>
  <c r="V96" i="1"/>
  <c r="W96" i="1"/>
  <c r="X96" i="1"/>
  <c r="Y96" i="1"/>
  <c r="Z96" i="1"/>
  <c r="AA96" i="1"/>
  <c r="AB96" i="1"/>
  <c r="AC96" i="1"/>
  <c r="AD96" i="1"/>
  <c r="S97" i="1"/>
  <c r="T97" i="1"/>
  <c r="U97" i="1"/>
  <c r="V97" i="1"/>
  <c r="W97" i="1"/>
  <c r="X97" i="1"/>
  <c r="Y97" i="1"/>
  <c r="Z97" i="1"/>
  <c r="AA97" i="1"/>
  <c r="AB97" i="1"/>
  <c r="AC97" i="1"/>
  <c r="AD97" i="1"/>
  <c r="S98" i="1"/>
  <c r="T98" i="1"/>
  <c r="U98" i="1"/>
  <c r="V98" i="1"/>
  <c r="W98" i="1"/>
  <c r="X98" i="1"/>
  <c r="Y98" i="1"/>
  <c r="Z98" i="1"/>
  <c r="AA98" i="1"/>
  <c r="AB98" i="1"/>
  <c r="AC98" i="1"/>
  <c r="AD98" i="1"/>
  <c r="S99" i="1"/>
  <c r="T99" i="1"/>
  <c r="U99" i="1"/>
  <c r="V99" i="1"/>
  <c r="W99" i="1"/>
  <c r="X99" i="1"/>
  <c r="Y99" i="1"/>
  <c r="Z99" i="1"/>
  <c r="AA99" i="1"/>
  <c r="AB99" i="1"/>
  <c r="AC99" i="1"/>
  <c r="AD99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S6" i="1" l="1"/>
  <c r="T6" i="1"/>
  <c r="U6" i="1"/>
  <c r="V6" i="1"/>
  <c r="W6" i="1"/>
  <c r="X6" i="1"/>
  <c r="Y6" i="1"/>
  <c r="Z6" i="1"/>
  <c r="AA6" i="1"/>
  <c r="AB6" i="1"/>
  <c r="AC6" i="1"/>
  <c r="AD6" i="1"/>
  <c r="S6" i="2" l="1"/>
  <c r="T6" i="2"/>
  <c r="U6" i="2"/>
  <c r="V6" i="2"/>
  <c r="W6" i="2"/>
  <c r="X6" i="2"/>
  <c r="Y6" i="2"/>
  <c r="Z6" i="2"/>
  <c r="AA6" i="2"/>
  <c r="AB6" i="2"/>
  <c r="AC6" i="2"/>
  <c r="AD6" i="2"/>
</calcChain>
</file>

<file path=xl/sharedStrings.xml><?xml version="1.0" encoding="utf-8"?>
<sst xmlns="http://schemas.openxmlformats.org/spreadsheetml/2006/main" count="472" uniqueCount="229">
  <si>
    <r>
      <rPr>
        <b/>
        <sz val="5"/>
        <rFont val="Arial"/>
        <family val="2"/>
      </rPr>
      <t xml:space="preserve">PEMERINTAH PROVINSI SUMATERA BARAT SEKRETARIAT DAERAH
</t>
    </r>
    <r>
      <rPr>
        <b/>
        <sz val="5"/>
        <rFont val="Arial"/>
        <family val="2"/>
      </rPr>
      <t xml:space="preserve">ANGGARAN KAS SKPD
</t>
    </r>
    <r>
      <rPr>
        <b/>
        <sz val="5"/>
        <rFont val="Arial"/>
        <family val="2"/>
      </rPr>
      <t>TAHUN ANGGARAN 2025</t>
    </r>
  </si>
  <si>
    <r>
      <rPr>
        <sz val="5"/>
        <rFont val="Arial MT"/>
        <family val="2"/>
      </rPr>
      <t>Kode Rekening</t>
    </r>
  </si>
  <si>
    <t>Kode Sub Unit</t>
  </si>
  <si>
    <t>Kode Rekening</t>
  </si>
  <si>
    <t>Uraian</t>
  </si>
  <si>
    <t>Jumlah Anggaran</t>
  </si>
  <si>
    <t>Jumlah RAK</t>
  </si>
  <si>
    <t>Semester I</t>
  </si>
  <si>
    <t>Semester II</t>
  </si>
  <si>
    <t>Triwulan I</t>
  </si>
  <si>
    <t>Triwulan II</t>
  </si>
  <si>
    <t>Triwulan III</t>
  </si>
  <si>
    <t>Triwulan IV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</si>
  <si>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</si>
  <si>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</si>
  <si>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</si>
  <si>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</si>
  <si>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</si>
  <si>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</si>
  <si>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</si>
  <si>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</si>
  <si>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</si>
  <si>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</si>
  <si>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</si>
  <si>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</si>
  <si>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r>
      <rPr>
        <b/>
        <sz val="5"/>
        <rFont val="Times New Roman"/>
        <family val="1"/>
      </rPr>
      <t>JUMLAH ALOKASI KAS YANG TERSEDIA DARI BELANJA DAN
PENGELUARAN PEMBIAYAAN PER TRIWULAN</t>
    </r>
  </si>
  <si>
    <t>No</t>
  </si>
  <si>
    <t>Keuangan (Rp.)</t>
  </si>
  <si>
    <t xml:space="preserve">Fisik </t>
  </si>
  <si>
    <t>February</t>
  </si>
  <si>
    <t>January</t>
  </si>
  <si>
    <t>March</t>
  </si>
  <si>
    <t>May</t>
  </si>
  <si>
    <t>June</t>
  </si>
  <si>
    <t>July</t>
  </si>
  <si>
    <t>August</t>
  </si>
  <si>
    <t>October</t>
  </si>
  <si>
    <t>December</t>
  </si>
  <si>
    <r>
      <rPr>
        <b/>
        <sz val="6"/>
        <rFont val="Arial"/>
        <family val="2"/>
      </rPr>
      <t>ALOKASI BELANJA DAN PENGELUARAN PEMBIAYAAN</t>
    </r>
  </si>
  <si>
    <r>
      <rPr>
        <b/>
        <sz val="6"/>
        <rFont val="Arial"/>
        <family val="2"/>
      </rPr>
      <t>2.19.0.00.0.00.01.0000</t>
    </r>
  </si>
  <si>
    <r>
      <rPr>
        <b/>
        <sz val="6"/>
        <rFont val="Arial"/>
        <family val="2"/>
      </rPr>
      <t>DINAS PEMUDA DAN OLAHRAGA</t>
    </r>
  </si>
  <si>
    <r>
      <rPr>
        <b/>
        <sz val="6"/>
        <rFont val="Arial"/>
        <family val="2"/>
      </rPr>
      <t>2.19</t>
    </r>
  </si>
  <si>
    <r>
      <rPr>
        <b/>
        <sz val="6"/>
        <rFont val="Arial"/>
        <family val="2"/>
      </rPr>
      <t xml:space="preserve">URUSAN PEMERINTAHAN BIDANG
</t>
    </r>
    <r>
      <rPr>
        <b/>
        <sz val="6"/>
        <rFont val="Arial"/>
        <family val="2"/>
      </rPr>
      <t>KEPEMUDAAN DAN OLAHRAGA</t>
    </r>
  </si>
  <si>
    <r>
      <rPr>
        <b/>
        <sz val="6"/>
        <rFont val="Arial"/>
        <family val="2"/>
      </rPr>
      <t xml:space="preserve">PROGRAM PENUNJANG URUSAN
</t>
    </r>
    <r>
      <rPr>
        <b/>
        <sz val="6"/>
        <rFont val="Arial"/>
        <family val="2"/>
      </rPr>
      <t>PEMERINTAHAN DAERAH PROVINSI</t>
    </r>
  </si>
  <si>
    <r>
      <rPr>
        <b/>
        <sz val="6"/>
        <rFont val="Arial"/>
        <family val="2"/>
      </rPr>
      <t>2.19.01.1.01</t>
    </r>
  </si>
  <si>
    <r>
      <rPr>
        <b/>
        <sz val="6"/>
        <rFont val="Arial"/>
        <family val="2"/>
      </rPr>
      <t>Perencanaan, Penganggaran, dan Evaluasi Kinerja Perangkat Daerah</t>
    </r>
  </si>
  <si>
    <r>
      <rPr>
        <sz val="6"/>
        <rFont val="Arial MT"/>
        <family val="2"/>
      </rPr>
      <t>2.19.01.1.01.0001</t>
    </r>
  </si>
  <si>
    <r>
      <rPr>
        <sz val="6"/>
        <rFont val="Arial MT"/>
        <family val="2"/>
      </rPr>
      <t xml:space="preserve">Penyusunan Dokumen Perencanaan
</t>
    </r>
    <r>
      <rPr>
        <sz val="6"/>
        <rFont val="Arial MT"/>
        <family val="2"/>
      </rPr>
      <t>Perangkat Daerah</t>
    </r>
  </si>
  <si>
    <r>
      <rPr>
        <sz val="6"/>
        <rFont val="Arial MT"/>
        <family val="2"/>
      </rPr>
      <t>2.19.01.1.01.0006</t>
    </r>
  </si>
  <si>
    <r>
      <rPr>
        <sz val="6"/>
        <rFont val="Arial MT"/>
        <family val="2"/>
      </rPr>
      <t xml:space="preserve">Koordinasi dan Penyusunan Laporan Capaian Kinerja dan Ikhtisar Realisasi
</t>
    </r>
    <r>
      <rPr>
        <sz val="6"/>
        <rFont val="Arial MT"/>
        <family val="2"/>
      </rPr>
      <t>Kinerja SKPD</t>
    </r>
  </si>
  <si>
    <r>
      <rPr>
        <sz val="6"/>
        <rFont val="Arial MT"/>
        <family val="2"/>
      </rPr>
      <t>2.19.01.1.01.0007</t>
    </r>
  </si>
  <si>
    <r>
      <rPr>
        <sz val="6"/>
        <rFont val="Arial MT"/>
        <family val="2"/>
      </rPr>
      <t>Evaluasi Kinerja Perangkat Daerah</t>
    </r>
  </si>
  <si>
    <r>
      <rPr>
        <sz val="6"/>
        <rFont val="Arial MT"/>
        <family val="2"/>
      </rPr>
      <t>2.19.01.1.01.0008</t>
    </r>
  </si>
  <si>
    <r>
      <rPr>
        <sz val="6"/>
        <rFont val="Arial MT"/>
        <family val="2"/>
      </rPr>
      <t xml:space="preserve">Pelaksanaan Pengumpulan Data Statistik
</t>
    </r>
    <r>
      <rPr>
        <sz val="6"/>
        <rFont val="Arial MT"/>
        <family val="2"/>
      </rPr>
      <t>Sektoral Daerah</t>
    </r>
  </si>
  <si>
    <r>
      <rPr>
        <sz val="6"/>
        <rFont val="Arial MT"/>
        <family val="2"/>
      </rPr>
      <t>2.19.01.1.01.0009</t>
    </r>
  </si>
  <si>
    <r>
      <rPr>
        <sz val="6"/>
        <rFont val="Arial MT"/>
        <family val="2"/>
      </rPr>
      <t>Pelaksanaan Forum Perangkat Daerah Berdasarkan Bidang Urusan yang Diampu dalam Rangka Penyusunan Dokumen Perencanaan Perangkat Daerah</t>
    </r>
  </si>
  <si>
    <r>
      <rPr>
        <b/>
        <sz val="6"/>
        <rFont val="Arial"/>
        <family val="2"/>
      </rPr>
      <t>2.19.01.1.02</t>
    </r>
  </si>
  <si>
    <r>
      <rPr>
        <b/>
        <sz val="6"/>
        <rFont val="Arial"/>
        <family val="2"/>
      </rPr>
      <t xml:space="preserve">Administrasi Keuangan Perangkat
</t>
    </r>
    <r>
      <rPr>
        <b/>
        <sz val="6"/>
        <rFont val="Arial"/>
        <family val="2"/>
      </rPr>
      <t>Daerah</t>
    </r>
  </si>
  <si>
    <r>
      <rPr>
        <sz val="6"/>
        <rFont val="Arial MT"/>
        <family val="2"/>
      </rPr>
      <t>2.19.01.1.02.0001</t>
    </r>
  </si>
  <si>
    <r>
      <rPr>
        <sz val="6"/>
        <rFont val="Arial MT"/>
        <family val="2"/>
      </rPr>
      <t>Penyediaan Gaji dan Tunjangan ASN</t>
    </r>
  </si>
  <si>
    <r>
      <rPr>
        <sz val="6"/>
        <rFont val="Arial MT"/>
        <family val="2"/>
      </rPr>
      <t>Kode Rekening</t>
    </r>
  </si>
  <si>
    <r>
      <rPr>
        <sz val="6"/>
        <rFont val="Arial MT"/>
        <family val="2"/>
      </rPr>
      <t>Uraian</t>
    </r>
  </si>
  <si>
    <r>
      <rPr>
        <sz val="6"/>
        <rFont val="Arial MT"/>
        <family val="2"/>
      </rPr>
      <t>Jumlah Anggaran</t>
    </r>
  </si>
  <si>
    <r>
      <rPr>
        <sz val="6"/>
        <rFont val="Arial MT"/>
        <family val="2"/>
      </rPr>
      <t>Jumlah RAK</t>
    </r>
  </si>
  <si>
    <r>
      <rPr>
        <sz val="6"/>
        <rFont val="Arial MT"/>
        <family val="2"/>
      </rPr>
      <t>Semester I</t>
    </r>
  </si>
  <si>
    <r>
      <rPr>
        <sz val="6"/>
        <rFont val="Arial MT"/>
        <family val="2"/>
      </rPr>
      <t>Semester II</t>
    </r>
  </si>
  <si>
    <r>
      <rPr>
        <sz val="6"/>
        <rFont val="Arial MT"/>
        <family val="2"/>
      </rPr>
      <t>Triwulan I</t>
    </r>
  </si>
  <si>
    <r>
      <rPr>
        <sz val="6"/>
        <rFont val="Arial MT"/>
        <family val="2"/>
      </rPr>
      <t>Triwulan II</t>
    </r>
  </si>
  <si>
    <r>
      <rPr>
        <sz val="6"/>
        <rFont val="Arial MT"/>
        <family val="2"/>
      </rPr>
      <t>Triwulan III</t>
    </r>
  </si>
  <si>
    <r>
      <rPr>
        <sz val="6"/>
        <rFont val="Arial MT"/>
        <family val="2"/>
      </rPr>
      <t>Triwulan IV</t>
    </r>
  </si>
  <si>
    <r>
      <rPr>
        <sz val="6"/>
        <rFont val="Arial MT"/>
        <family val="2"/>
      </rPr>
      <t>Januari</t>
    </r>
  </si>
  <si>
    <r>
      <rPr>
        <sz val="6"/>
        <rFont val="Arial MT"/>
        <family val="2"/>
      </rPr>
      <t>Februari</t>
    </r>
  </si>
  <si>
    <r>
      <rPr>
        <sz val="6"/>
        <rFont val="Arial MT"/>
        <family val="2"/>
      </rPr>
      <t>Maret</t>
    </r>
  </si>
  <si>
    <r>
      <rPr>
        <sz val="6"/>
        <rFont val="Arial MT"/>
        <family val="2"/>
      </rPr>
      <t>April</t>
    </r>
  </si>
  <si>
    <r>
      <rPr>
        <sz val="6"/>
        <rFont val="Arial MT"/>
        <family val="2"/>
      </rPr>
      <t>Mei</t>
    </r>
  </si>
  <si>
    <r>
      <rPr>
        <sz val="6"/>
        <rFont val="Arial MT"/>
        <family val="2"/>
      </rPr>
      <t>Juni</t>
    </r>
  </si>
  <si>
    <r>
      <rPr>
        <sz val="6"/>
        <rFont val="Arial MT"/>
        <family val="2"/>
      </rPr>
      <t>Juli</t>
    </r>
  </si>
  <si>
    <r>
      <rPr>
        <sz val="6"/>
        <rFont val="Arial MT"/>
        <family val="2"/>
      </rPr>
      <t>Agustus</t>
    </r>
  </si>
  <si>
    <r>
      <rPr>
        <sz val="6"/>
        <rFont val="Arial MT"/>
        <family val="2"/>
      </rPr>
      <t>September</t>
    </r>
  </si>
  <si>
    <r>
      <rPr>
        <sz val="6"/>
        <rFont val="Arial MT"/>
        <family val="2"/>
      </rPr>
      <t>Oktober</t>
    </r>
  </si>
  <si>
    <r>
      <rPr>
        <sz val="6"/>
        <rFont val="Arial MT"/>
        <family val="2"/>
      </rPr>
      <t>November</t>
    </r>
  </si>
  <si>
    <r>
      <rPr>
        <sz val="6"/>
        <rFont val="Arial MT"/>
        <family val="2"/>
      </rPr>
      <t>Desember</t>
    </r>
  </si>
  <si>
    <r>
      <rPr>
        <sz val="6"/>
        <rFont val="Arial MT"/>
        <family val="2"/>
      </rPr>
      <t>2.19.01.1.02.0002</t>
    </r>
  </si>
  <si>
    <r>
      <rPr>
        <sz val="6"/>
        <rFont val="Arial MT"/>
        <family val="2"/>
      </rPr>
      <t>Penyediaan Administrasi Pelaksanaan Tugas ASN</t>
    </r>
  </si>
  <si>
    <r>
      <rPr>
        <sz val="6"/>
        <rFont val="Arial MT"/>
        <family val="2"/>
      </rPr>
      <t>2.19.01.1.02.0005</t>
    </r>
  </si>
  <si>
    <r>
      <rPr>
        <sz val="6"/>
        <rFont val="Arial MT"/>
        <family val="2"/>
      </rPr>
      <t xml:space="preserve">Koordinasi dan Penyusunan Laporan
</t>
    </r>
    <r>
      <rPr>
        <sz val="6"/>
        <rFont val="Arial MT"/>
        <family val="2"/>
      </rPr>
      <t>Keuangan Akhir Tahun SKPD</t>
    </r>
  </si>
  <si>
    <r>
      <rPr>
        <sz val="6"/>
        <rFont val="Arial MT"/>
        <family val="2"/>
      </rPr>
      <t>2.19.01.1.02.0007</t>
    </r>
  </si>
  <si>
    <r>
      <rPr>
        <sz val="6"/>
        <rFont val="Arial MT"/>
        <family val="2"/>
      </rPr>
      <t xml:space="preserve">Koordinasi dan Penyusunan Laporan
</t>
    </r>
    <r>
      <rPr>
        <sz val="6"/>
        <rFont val="Arial MT"/>
        <family val="2"/>
      </rPr>
      <t>Keuangan Bulanan/ Triwulanan/Semesteran SKPD</t>
    </r>
  </si>
  <si>
    <r>
      <rPr>
        <b/>
        <sz val="6"/>
        <rFont val="Arial"/>
        <family val="2"/>
      </rPr>
      <t>2.19.01.1.03</t>
    </r>
  </si>
  <si>
    <r>
      <rPr>
        <b/>
        <sz val="6"/>
        <rFont val="Arial"/>
        <family val="2"/>
      </rPr>
      <t xml:space="preserve">Administrasi Barang Milik Daerah pada
</t>
    </r>
    <r>
      <rPr>
        <b/>
        <sz val="6"/>
        <rFont val="Arial"/>
        <family val="2"/>
      </rPr>
      <t>Perangkat Daerah</t>
    </r>
  </si>
  <si>
    <r>
      <rPr>
        <sz val="6"/>
        <rFont val="Arial MT"/>
        <family val="2"/>
      </rPr>
      <t>2.19.01.1.03.0002</t>
    </r>
  </si>
  <si>
    <r>
      <rPr>
        <sz val="6"/>
        <rFont val="Arial MT"/>
        <family val="2"/>
      </rPr>
      <t>Pengamanan Barang Milik Daerah SKPD</t>
    </r>
  </si>
  <si>
    <r>
      <rPr>
        <sz val="6"/>
        <rFont val="Arial MT"/>
        <family val="2"/>
      </rPr>
      <t>2.19.01.1.03.0004</t>
    </r>
  </si>
  <si>
    <r>
      <rPr>
        <sz val="6"/>
        <rFont val="Arial MT"/>
        <family val="2"/>
      </rPr>
      <t>Pembinaan, Pengawasan, dan Pengendalian Barang Milik Daerah pada SKPD</t>
    </r>
  </si>
  <si>
    <r>
      <rPr>
        <sz val="6"/>
        <rFont val="Arial MT"/>
        <family val="2"/>
      </rPr>
      <t>2.19.01.1.03.0006</t>
    </r>
  </si>
  <si>
    <r>
      <rPr>
        <sz val="6"/>
        <rFont val="Arial MT"/>
        <family val="2"/>
      </rPr>
      <t xml:space="preserve">Penatausahaan Barang Milik Daerah pada
</t>
    </r>
    <r>
      <rPr>
        <sz val="6"/>
        <rFont val="Arial MT"/>
        <family val="2"/>
      </rPr>
      <t>SKPD</t>
    </r>
  </si>
  <si>
    <r>
      <rPr>
        <b/>
        <sz val="6"/>
        <rFont val="Arial"/>
        <family val="2"/>
      </rPr>
      <t>2.19.01.1.04</t>
    </r>
  </si>
  <si>
    <r>
      <rPr>
        <b/>
        <sz val="6"/>
        <rFont val="Arial"/>
        <family val="2"/>
      </rPr>
      <t>Administrasi Pendapatan Daerah Kewenangan Perangkat Daerah</t>
    </r>
  </si>
  <si>
    <r>
      <rPr>
        <sz val="6"/>
        <rFont val="Arial MT"/>
        <family val="2"/>
      </rPr>
      <t>2.19.01.1.04.0003</t>
    </r>
  </si>
  <si>
    <r>
      <rPr>
        <sz val="6"/>
        <rFont val="Arial MT"/>
        <family val="2"/>
      </rPr>
      <t xml:space="preserve">Penyuluhan dan Penyebarluasan
</t>
    </r>
    <r>
      <rPr>
        <sz val="6"/>
        <rFont val="Arial MT"/>
        <family val="2"/>
      </rPr>
      <t>Kebijakan Retribusi Daerah</t>
    </r>
  </si>
  <si>
    <r>
      <rPr>
        <sz val="6"/>
        <rFont val="Arial MT"/>
        <family val="2"/>
      </rPr>
      <t>2.19.01.1.04.0005</t>
    </r>
  </si>
  <si>
    <r>
      <rPr>
        <sz val="6"/>
        <rFont val="Arial MT"/>
        <family val="2"/>
      </rPr>
      <t>Pengolahan Data Retribusi Daerah</t>
    </r>
  </si>
  <si>
    <r>
      <rPr>
        <sz val="6"/>
        <rFont val="Arial MT"/>
        <family val="2"/>
      </rPr>
      <t>2.19.01.1.04.0007</t>
    </r>
  </si>
  <si>
    <r>
      <rPr>
        <sz val="6"/>
        <rFont val="Arial MT"/>
        <family val="2"/>
      </rPr>
      <t>Pelaporan Pengelolaan Retribusi Daerah</t>
    </r>
  </si>
  <si>
    <r>
      <rPr>
        <b/>
        <sz val="6"/>
        <rFont val="Arial"/>
        <family val="2"/>
      </rPr>
      <t>2.19.01.1.05</t>
    </r>
  </si>
  <si>
    <r>
      <rPr>
        <b/>
        <sz val="6"/>
        <rFont val="Arial"/>
        <family val="2"/>
      </rPr>
      <t xml:space="preserve">Administrasi Kepegawaian Perangkat
</t>
    </r>
    <r>
      <rPr>
        <b/>
        <sz val="6"/>
        <rFont val="Arial"/>
        <family val="2"/>
      </rPr>
      <t>Daerah</t>
    </r>
  </si>
  <si>
    <r>
      <rPr>
        <sz val="6"/>
        <rFont val="Arial MT"/>
        <family val="2"/>
      </rPr>
      <t>2.19.01.1.05.0002</t>
    </r>
  </si>
  <si>
    <r>
      <rPr>
        <sz val="6"/>
        <rFont val="Arial MT"/>
        <family val="2"/>
      </rPr>
      <t xml:space="preserve">Pengadaan Pakaian Dinas Beserta Atribut
</t>
    </r>
    <r>
      <rPr>
        <sz val="6"/>
        <rFont val="Arial MT"/>
        <family val="2"/>
      </rPr>
      <t>Kelengkapannya</t>
    </r>
  </si>
  <si>
    <r>
      <rPr>
        <sz val="6"/>
        <rFont val="Arial MT"/>
        <family val="2"/>
      </rPr>
      <t>2.19.01.1.05.0009</t>
    </r>
  </si>
  <si>
    <r>
      <rPr>
        <sz val="6"/>
        <rFont val="Arial MT"/>
        <family val="2"/>
      </rPr>
      <t>Pendidikan dan Pelatihan Pegawai Berdasarkan Tugas dan Fungsi</t>
    </r>
  </si>
  <si>
    <r>
      <rPr>
        <b/>
        <sz val="6"/>
        <rFont val="Arial"/>
        <family val="2"/>
      </rPr>
      <t>2.19.01.1.06</t>
    </r>
  </si>
  <si>
    <r>
      <rPr>
        <b/>
        <sz val="6"/>
        <rFont val="Arial"/>
        <family val="2"/>
      </rPr>
      <t>Administrasi Umum Perangkat Daerah</t>
    </r>
  </si>
  <si>
    <r>
      <rPr>
        <sz val="6"/>
        <rFont val="Arial MT"/>
        <family val="2"/>
      </rPr>
      <t>2.19.01.1.06.0001</t>
    </r>
  </si>
  <si>
    <r>
      <rPr>
        <sz val="6"/>
        <rFont val="Arial MT"/>
        <family val="2"/>
      </rPr>
      <t xml:space="preserve">Penyediaan Komponen Instalasi
</t>
    </r>
    <r>
      <rPr>
        <sz val="6"/>
        <rFont val="Arial MT"/>
        <family val="2"/>
      </rPr>
      <t>Listrik/Penerangan Bangunan Kantor</t>
    </r>
  </si>
  <si>
    <r>
      <rPr>
        <sz val="6"/>
        <rFont val="Arial MT"/>
        <family val="2"/>
      </rPr>
      <t>2.19.01.1.06.0002</t>
    </r>
  </si>
  <si>
    <r>
      <rPr>
        <sz val="6"/>
        <rFont val="Arial MT"/>
        <family val="2"/>
      </rPr>
      <t>Penyediaan Peralatan dan Perlengkapan Kantor</t>
    </r>
  </si>
  <si>
    <r>
      <rPr>
        <sz val="6"/>
        <rFont val="Arial MT"/>
        <family val="2"/>
      </rPr>
      <t>2.19.01.1.06.0003</t>
    </r>
  </si>
  <si>
    <r>
      <rPr>
        <sz val="6"/>
        <rFont val="Arial MT"/>
        <family val="2"/>
      </rPr>
      <t>Penyediaan Peralatan Rumah Tangga</t>
    </r>
  </si>
  <si>
    <r>
      <rPr>
        <sz val="6"/>
        <rFont val="Arial MT"/>
        <family val="2"/>
      </rPr>
      <t>2.19.01.1.06.0004</t>
    </r>
  </si>
  <si>
    <r>
      <rPr>
        <sz val="6"/>
        <rFont val="Arial MT"/>
        <family val="2"/>
      </rPr>
      <t>Penyediaan Bahan Logistik Kantor</t>
    </r>
  </si>
  <si>
    <r>
      <rPr>
        <sz val="6"/>
        <rFont val="Arial MT"/>
        <family val="2"/>
      </rPr>
      <t>2.19.01.1.06.0005</t>
    </r>
  </si>
  <si>
    <r>
      <rPr>
        <sz val="6"/>
        <rFont val="Arial MT"/>
        <family val="2"/>
      </rPr>
      <t xml:space="preserve">Penyediaan Barang Cetakan dan
</t>
    </r>
    <r>
      <rPr>
        <sz val="6"/>
        <rFont val="Arial MT"/>
        <family val="2"/>
      </rPr>
      <t>Penggandaan</t>
    </r>
  </si>
  <si>
    <r>
      <rPr>
        <sz val="6"/>
        <rFont val="Arial MT"/>
        <family val="2"/>
      </rPr>
      <t>2.19.01.1.06.0006</t>
    </r>
  </si>
  <si>
    <r>
      <rPr>
        <sz val="6"/>
        <rFont val="Arial MT"/>
        <family val="2"/>
      </rPr>
      <t xml:space="preserve">Penyediaan Bahan Bacaan dan Peraturan
</t>
    </r>
    <r>
      <rPr>
        <sz val="6"/>
        <rFont val="Arial MT"/>
        <family val="2"/>
      </rPr>
      <t>Perundang-Undangan</t>
    </r>
  </si>
  <si>
    <r>
      <rPr>
        <sz val="6"/>
        <rFont val="Arial MT"/>
        <family val="2"/>
      </rPr>
      <t>2.19.01.1.06.0008</t>
    </r>
  </si>
  <si>
    <r>
      <rPr>
        <sz val="6"/>
        <rFont val="Arial MT"/>
        <family val="2"/>
      </rPr>
      <t>Fasilitasi Kunjungan Tamu</t>
    </r>
  </si>
  <si>
    <r>
      <rPr>
        <sz val="6"/>
        <rFont val="Arial MT"/>
        <family val="2"/>
      </rPr>
      <t>2.19.01.1.06.0009</t>
    </r>
  </si>
  <si>
    <r>
      <rPr>
        <sz val="6"/>
        <rFont val="Arial MT"/>
        <family val="2"/>
      </rPr>
      <t xml:space="preserve">Penyelenggaraan Rapat Koordinasi dan
</t>
    </r>
    <r>
      <rPr>
        <sz val="6"/>
        <rFont val="Arial MT"/>
        <family val="2"/>
      </rPr>
      <t>Konsultasi SKPD</t>
    </r>
  </si>
  <si>
    <r>
      <rPr>
        <sz val="6"/>
        <rFont val="Arial MT"/>
        <family val="2"/>
      </rPr>
      <t>2.19.01.1.06.0010</t>
    </r>
  </si>
  <si>
    <r>
      <rPr>
        <sz val="6"/>
        <rFont val="Arial MT"/>
        <family val="2"/>
      </rPr>
      <t xml:space="preserve">Penatausahaan Arsip Dinamis pada
</t>
    </r>
    <r>
      <rPr>
        <sz val="6"/>
        <rFont val="Arial MT"/>
        <family val="2"/>
      </rPr>
      <t>SKPD</t>
    </r>
  </si>
  <si>
    <r>
      <rPr>
        <b/>
        <sz val="6"/>
        <rFont val="Arial"/>
        <family val="2"/>
      </rPr>
      <t>2.19.01.1.07</t>
    </r>
  </si>
  <si>
    <r>
      <rPr>
        <b/>
        <sz val="6"/>
        <rFont val="Arial"/>
        <family val="2"/>
      </rPr>
      <t>Pengadaan Barang Milik Daerah Penunjang Urusan Pemerintah Daerah</t>
    </r>
  </si>
  <si>
    <r>
      <rPr>
        <sz val="6"/>
        <rFont val="Arial MT"/>
        <family val="2"/>
      </rPr>
      <t>2.19.01.1.07.0002</t>
    </r>
  </si>
  <si>
    <r>
      <rPr>
        <sz val="6"/>
        <rFont val="Arial MT"/>
        <family val="2"/>
      </rPr>
      <t xml:space="preserve">Pengadaan Kendaraan Dinas Operasional
</t>
    </r>
    <r>
      <rPr>
        <sz val="6"/>
        <rFont val="Arial MT"/>
        <family val="2"/>
      </rPr>
      <t>atau Lapangan</t>
    </r>
  </si>
  <si>
    <r>
      <rPr>
        <sz val="6"/>
        <rFont val="Arial MT"/>
        <family val="2"/>
      </rPr>
      <t>2.19.01.1.07.0005</t>
    </r>
  </si>
  <si>
    <r>
      <rPr>
        <sz val="6"/>
        <rFont val="Arial MT"/>
        <family val="2"/>
      </rPr>
      <t>Pengadaan Mebel</t>
    </r>
  </si>
  <si>
    <r>
      <rPr>
        <sz val="6"/>
        <rFont val="Arial MT"/>
        <family val="2"/>
      </rPr>
      <t>2.19.01.1.07.0006</t>
    </r>
  </si>
  <si>
    <r>
      <rPr>
        <sz val="6"/>
        <rFont val="Arial MT"/>
        <family val="2"/>
      </rPr>
      <t>Pengadaan Peralatan dan Mesin Lainnya</t>
    </r>
  </si>
  <si>
    <r>
      <rPr>
        <sz val="6"/>
        <rFont val="Arial MT"/>
        <family val="2"/>
      </rPr>
      <t>2.19.01.1.07.0011</t>
    </r>
  </si>
  <si>
    <r>
      <rPr>
        <sz val="6"/>
        <rFont val="Arial MT"/>
        <family val="2"/>
      </rPr>
      <t xml:space="preserve">Pengadaan Sarana dan Prasarana
</t>
    </r>
    <r>
      <rPr>
        <sz val="6"/>
        <rFont val="Arial MT"/>
        <family val="2"/>
      </rPr>
      <t>Pendukung Gedung Kantor atau Bangunan Lainnya</t>
    </r>
  </si>
  <si>
    <r>
      <rPr>
        <b/>
        <sz val="6"/>
        <rFont val="Arial"/>
        <family val="2"/>
      </rPr>
      <t>2.19.01.1.08</t>
    </r>
  </si>
  <si>
    <r>
      <rPr>
        <b/>
        <sz val="6"/>
        <rFont val="Arial"/>
        <family val="2"/>
      </rPr>
      <t xml:space="preserve">Penyediaan Jasa Penunjang Urusan
</t>
    </r>
    <r>
      <rPr>
        <b/>
        <sz val="6"/>
        <rFont val="Arial"/>
        <family val="2"/>
      </rPr>
      <t>Pemerintahan Daerah</t>
    </r>
  </si>
  <si>
    <r>
      <rPr>
        <sz val="6"/>
        <rFont val="Arial MT"/>
        <family val="2"/>
      </rPr>
      <t>2.19.01.1.08.0001</t>
    </r>
  </si>
  <si>
    <r>
      <rPr>
        <sz val="6"/>
        <rFont val="Arial MT"/>
        <family val="2"/>
      </rPr>
      <t>Penyediaan Jasa Surat Menyurat</t>
    </r>
  </si>
  <si>
    <r>
      <rPr>
        <sz val="6"/>
        <rFont val="Arial MT"/>
        <family val="2"/>
      </rPr>
      <t>2.19.01.1.08.0002</t>
    </r>
  </si>
  <si>
    <r>
      <rPr>
        <sz val="6"/>
        <rFont val="Arial MT"/>
        <family val="2"/>
      </rPr>
      <t xml:space="preserve">Penyediaan Jasa Komunikasi, Sumber
</t>
    </r>
    <r>
      <rPr>
        <sz val="6"/>
        <rFont val="Arial MT"/>
        <family val="2"/>
      </rPr>
      <t>Daya Air dan Listrik</t>
    </r>
  </si>
  <si>
    <r>
      <rPr>
        <sz val="6"/>
        <rFont val="Arial MT"/>
        <family val="2"/>
      </rPr>
      <t>2.19.01.1.08.0004</t>
    </r>
  </si>
  <si>
    <r>
      <rPr>
        <sz val="6"/>
        <rFont val="Arial MT"/>
        <family val="2"/>
      </rPr>
      <t xml:space="preserve">Penyediaan Jasa Pelayanan Umum
</t>
    </r>
    <r>
      <rPr>
        <sz val="6"/>
        <rFont val="Arial MT"/>
        <family val="2"/>
      </rPr>
      <t>Kantor</t>
    </r>
  </si>
  <si>
    <r>
      <rPr>
        <b/>
        <sz val="6"/>
        <rFont val="Arial"/>
        <family val="2"/>
      </rPr>
      <t>2.19.01.1.09</t>
    </r>
  </si>
  <si>
    <r>
      <rPr>
        <b/>
        <sz val="6"/>
        <rFont val="Arial"/>
        <family val="2"/>
      </rPr>
      <t xml:space="preserve">Pemeliharaan Barang Milik Daerah Penunjang Urusan Pemerintahan
</t>
    </r>
    <r>
      <rPr>
        <b/>
        <sz val="6"/>
        <rFont val="Arial"/>
        <family val="2"/>
      </rPr>
      <t>Daerah</t>
    </r>
  </si>
  <si>
    <r>
      <rPr>
        <sz val="6"/>
        <rFont val="Arial MT"/>
        <family val="2"/>
      </rPr>
      <t>2.19.01.1.09.0001</t>
    </r>
  </si>
  <si>
    <r>
      <rPr>
        <sz val="6"/>
        <rFont val="Arial MT"/>
        <family val="2"/>
      </rPr>
      <t xml:space="preserve">Penyediaan Jasa Pemeliharaan, Biaya Pemeliharaan dan Pajak Kendaraan Perorangan Dinas atau Kendaraan Dinas
</t>
    </r>
    <r>
      <rPr>
        <sz val="6"/>
        <rFont val="Arial MT"/>
        <family val="2"/>
      </rPr>
      <t>Jabatan</t>
    </r>
  </si>
  <si>
    <r>
      <rPr>
        <sz val="6"/>
        <rFont val="Arial MT"/>
        <family val="2"/>
      </rPr>
      <t>2.19.01.1.09.0002</t>
    </r>
  </si>
  <si>
    <r>
      <rPr>
        <sz val="6"/>
        <rFont val="Arial MT"/>
        <family val="2"/>
      </rPr>
      <t xml:space="preserve">Penyediaan Jasa Pemeliharaan, Biaya Pemeliharaan, Pajak dan Perizinan Kendaraan Dinas Operasional atau
</t>
    </r>
    <r>
      <rPr>
        <sz val="6"/>
        <rFont val="Arial MT"/>
        <family val="2"/>
      </rPr>
      <t>Lapangan</t>
    </r>
  </si>
  <si>
    <r>
      <rPr>
        <sz val="6"/>
        <rFont val="Arial MT"/>
        <family val="2"/>
      </rPr>
      <t>2.19.01.1.09.0005</t>
    </r>
  </si>
  <si>
    <r>
      <rPr>
        <sz val="6"/>
        <rFont val="Arial MT"/>
        <family val="2"/>
      </rPr>
      <t>Pemeliharaan Mebel</t>
    </r>
  </si>
  <si>
    <r>
      <rPr>
        <sz val="6"/>
        <rFont val="Arial MT"/>
        <family val="2"/>
      </rPr>
      <t>2.19.01.1.09.0006</t>
    </r>
  </si>
  <si>
    <r>
      <rPr>
        <sz val="6"/>
        <rFont val="Arial MT"/>
        <family val="2"/>
      </rPr>
      <t xml:space="preserve">Pemeliharaan Peralatan dan Mesin
</t>
    </r>
    <r>
      <rPr>
        <sz val="6"/>
        <rFont val="Arial MT"/>
        <family val="2"/>
      </rPr>
      <t>Lainnya</t>
    </r>
  </si>
  <si>
    <r>
      <rPr>
        <sz val="6"/>
        <rFont val="Arial MT"/>
        <family val="2"/>
      </rPr>
      <t>2.19.01.1.09.0009</t>
    </r>
  </si>
  <si>
    <r>
      <rPr>
        <sz val="6"/>
        <rFont val="Arial MT"/>
        <family val="2"/>
      </rPr>
      <t>Pemeliharaan/Rehabilitasi Gedung Kantor dan Bangunan Lainnya</t>
    </r>
  </si>
  <si>
    <r>
      <rPr>
        <sz val="6"/>
        <rFont val="Arial MT"/>
        <family val="2"/>
      </rPr>
      <t>2.19.01.1.09.0010</t>
    </r>
  </si>
  <si>
    <r>
      <rPr>
        <sz val="6"/>
        <rFont val="Arial MT"/>
        <family val="2"/>
      </rPr>
      <t>Pemeliharaan/Rehabilitasi Sarana dan Prasarana Gedung Kantor atau Bangunan</t>
    </r>
  </si>
  <si>
    <r>
      <rPr>
        <sz val="6"/>
        <rFont val="Arial MT"/>
        <family val="2"/>
      </rPr>
      <t>Lainnya</t>
    </r>
  </si>
  <si>
    <r>
      <rPr>
        <b/>
        <sz val="6"/>
        <rFont val="Arial"/>
        <family val="2"/>
      </rPr>
      <t xml:space="preserve">PROGRAM PENGEMBANGAN KAPASITAS DAYA SAING
</t>
    </r>
    <r>
      <rPr>
        <b/>
        <sz val="6"/>
        <rFont val="Arial"/>
        <family val="2"/>
      </rPr>
      <t>KEPEMUDAAN</t>
    </r>
  </si>
  <si>
    <r>
      <rPr>
        <b/>
        <sz val="6"/>
        <rFont val="Arial"/>
        <family val="2"/>
      </rPr>
      <t>2.19.02.1.01</t>
    </r>
  </si>
  <si>
    <r>
      <rPr>
        <b/>
        <sz val="6"/>
        <rFont val="Arial"/>
        <family val="2"/>
      </rPr>
      <t>Penyadaran, Pemberdayaan, dan Pengembangan Pemuda dan Kepemudaan Kewenangan Provinsi</t>
    </r>
  </si>
  <si>
    <r>
      <rPr>
        <sz val="6"/>
        <rFont val="Arial MT"/>
        <family val="2"/>
      </rPr>
      <t>2.19.02.1.01.0003</t>
    </r>
  </si>
  <si>
    <r>
      <rPr>
        <sz val="6"/>
        <rFont val="Arial MT"/>
        <family val="2"/>
      </rPr>
      <t xml:space="preserve">Koordinasi, Sinkronisasi dan
</t>
    </r>
    <r>
      <rPr>
        <sz val="6"/>
        <rFont val="Arial MT"/>
        <family val="2"/>
      </rPr>
      <t>Penyelenggaraan Peningkatan Kapasitas Daya Saing Pemuda Kader Provinsi</t>
    </r>
  </si>
  <si>
    <r>
      <rPr>
        <sz val="6"/>
        <rFont val="Arial MT"/>
        <family val="2"/>
      </rPr>
      <t>2.19.02.1.01.0011</t>
    </r>
  </si>
  <si>
    <r>
      <rPr>
        <sz val="6"/>
        <rFont val="Arial MT"/>
        <family val="2"/>
      </rPr>
      <t xml:space="preserve">Pelaksanaan Koordinasi Strategis Lintas Sektor Penyelenggaraan Pelayanan Kepemudaan melalui pembentukan tim koordinasi provinsi Penyelenggaraan Pelayanan Kepemudaan serta penyusunan dan implementasi Rencana
</t>
    </r>
    <r>
      <rPr>
        <sz val="6"/>
        <rFont val="Arial MT"/>
        <family val="2"/>
      </rPr>
      <t>Aksi Daerah/RAD Tingkat Provinsi</t>
    </r>
  </si>
  <si>
    <r>
      <rPr>
        <sz val="6"/>
        <rFont val="Arial MT"/>
        <family val="2"/>
      </rPr>
      <t>2.19.02.1.01.0012</t>
    </r>
  </si>
  <si>
    <r>
      <rPr>
        <sz val="6"/>
        <rFont val="Arial MT"/>
        <family val="2"/>
      </rPr>
      <t xml:space="preserve">Koordinasi, Sinkronisasi dan Penyelenggaraan Pengembangan
</t>
    </r>
    <r>
      <rPr>
        <sz val="6"/>
        <rFont val="Arial MT"/>
        <family val="2"/>
      </rPr>
      <t>kepemimpinan pemuda tingkat provinsi</t>
    </r>
  </si>
  <si>
    <r>
      <rPr>
        <sz val="6"/>
        <rFont val="Arial MT"/>
        <family val="2"/>
      </rPr>
      <t>2.19.02.1.01.0013</t>
    </r>
  </si>
  <si>
    <r>
      <rPr>
        <sz val="6"/>
        <rFont val="Arial MT"/>
        <family val="2"/>
      </rPr>
      <t xml:space="preserve">Koordinasi, Sinkronisasi dan Penyelenggaraan Pengembangan Kepeloporan Pemuda bagi Pemuda
</t>
    </r>
    <r>
      <rPr>
        <sz val="6"/>
        <rFont val="Arial MT"/>
        <family val="2"/>
      </rPr>
      <t>Pelopor Tingkat Provinsi</t>
    </r>
  </si>
  <si>
    <r>
      <rPr>
        <sz val="6"/>
        <rFont val="Arial MT"/>
        <family val="2"/>
      </rPr>
      <t>2.19.02.1.01.0015</t>
    </r>
  </si>
  <si>
    <r>
      <rPr>
        <sz val="6"/>
        <rFont val="Arial MT"/>
        <family val="2"/>
      </rPr>
      <t>Koordinasi, Sinkronisasi, dan Penyelenggaraan Pengembangan Kewirausahaan Pemuda Bagi Wirausaha Muda Tingkat Provinsi</t>
    </r>
  </si>
  <si>
    <r>
      <rPr>
        <b/>
        <sz val="6"/>
        <rFont val="Arial"/>
        <family val="2"/>
      </rPr>
      <t>2.19.02.1.02</t>
    </r>
  </si>
  <si>
    <r>
      <rPr>
        <b/>
        <sz val="6"/>
        <rFont val="Arial"/>
        <family val="2"/>
      </rPr>
      <t xml:space="preserve">Pemberdayaan dan Pengembangan Organisasi Kepemudaan Tingkat
</t>
    </r>
    <r>
      <rPr>
        <b/>
        <sz val="6"/>
        <rFont val="Arial"/>
        <family val="2"/>
      </rPr>
      <t>Daerah Provinsi</t>
    </r>
  </si>
  <si>
    <r>
      <rPr>
        <sz val="6"/>
        <rFont val="Arial MT"/>
        <family val="2"/>
      </rPr>
      <t>2.19.02.1.02.0004</t>
    </r>
  </si>
  <si>
    <r>
      <rPr>
        <sz val="6"/>
        <rFont val="Arial MT"/>
        <family val="2"/>
      </rPr>
      <t xml:space="preserve">Koordinasi, sinkronisasi, dan penyelenggaran pengembangan manajemen kelembagaan organisasi
</t>
    </r>
    <r>
      <rPr>
        <sz val="6"/>
        <rFont val="Arial MT"/>
        <family val="2"/>
      </rPr>
      <t>kepemudaan tingkat provinsi</t>
    </r>
  </si>
  <si>
    <r>
      <rPr>
        <b/>
        <sz val="6"/>
        <rFont val="Arial"/>
        <family val="2"/>
      </rPr>
      <t xml:space="preserve">PROGRAM PENGEMBANGAN DAYA
</t>
    </r>
    <r>
      <rPr>
        <b/>
        <sz val="6"/>
        <rFont val="Arial"/>
        <family val="2"/>
      </rPr>
      <t>SAING KEOLAHRAGAAN</t>
    </r>
  </si>
  <si>
    <r>
      <rPr>
        <b/>
        <sz val="6"/>
        <rFont val="Arial"/>
        <family val="2"/>
      </rPr>
      <t>2.19.03.1.02</t>
    </r>
  </si>
  <si>
    <r>
      <rPr>
        <b/>
        <sz val="6"/>
        <rFont val="Arial"/>
        <family val="2"/>
      </rPr>
      <t>Penyelenggaraan Kejuaraan Olahraga</t>
    </r>
  </si>
  <si>
    <r>
      <rPr>
        <sz val="6"/>
        <rFont val="Arial MT"/>
        <family val="2"/>
      </rPr>
      <t>2.19.03.1.02.0006</t>
    </r>
  </si>
  <si>
    <r>
      <rPr>
        <sz val="6"/>
        <rFont val="Arial MT"/>
        <family val="2"/>
      </rPr>
      <t xml:space="preserve">Penyelenggaraan Pekan dan Kejuaraan
</t>
    </r>
    <r>
      <rPr>
        <sz val="6"/>
        <rFont val="Arial MT"/>
        <family val="2"/>
      </rPr>
      <t>Olahraga Tingkat Nasional dan Provinsi</t>
    </r>
  </si>
  <si>
    <r>
      <rPr>
        <b/>
        <sz val="6"/>
        <rFont val="Arial"/>
        <family val="2"/>
      </rPr>
      <t>2.19.03.1.03</t>
    </r>
  </si>
  <si>
    <r>
      <rPr>
        <b/>
        <sz val="6"/>
        <rFont val="Arial"/>
        <family val="2"/>
      </rPr>
      <t>Pembinaan dan Pengembangan Olahraga Prestasi Tingkat Nasional</t>
    </r>
  </si>
  <si>
    <r>
      <rPr>
        <sz val="6"/>
        <rFont val="Arial MT"/>
        <family val="2"/>
      </rPr>
      <t>2.19.03.1.03.0001</t>
    </r>
  </si>
  <si>
    <r>
      <rPr>
        <sz val="6"/>
        <rFont val="Arial MT"/>
        <family val="2"/>
      </rPr>
      <t>Seleksi Atlet Daerah</t>
    </r>
  </si>
  <si>
    <r>
      <rPr>
        <sz val="6"/>
        <rFont val="Arial MT"/>
        <family val="2"/>
      </rPr>
      <t>2.19.03.1.03.0006</t>
    </r>
  </si>
  <si>
    <r>
      <rPr>
        <sz val="6"/>
        <rFont val="Arial MT"/>
        <family val="2"/>
      </rPr>
      <t xml:space="preserve">Pemberian Penghargaan olahraga bagi
</t>
    </r>
    <r>
      <rPr>
        <sz val="6"/>
        <rFont val="Arial MT"/>
        <family val="2"/>
      </rPr>
      <t>yang berprestasi dan/atau berjasa dalam memajukan Olahraga</t>
    </r>
  </si>
  <si>
    <r>
      <rPr>
        <sz val="6"/>
        <rFont val="Arial MT"/>
        <family val="2"/>
      </rPr>
      <t>2.19.03.1.03.0007</t>
    </r>
  </si>
  <si>
    <r>
      <rPr>
        <sz val="6"/>
        <rFont val="Arial MT"/>
        <family val="2"/>
      </rPr>
      <t xml:space="preserve">Pemusatan Latihan Daerah yang
</t>
    </r>
    <r>
      <rPr>
        <sz val="6"/>
        <rFont val="Arial MT"/>
        <family val="2"/>
      </rPr>
      <t>terintegrasi dengan pengembangan Ilmu Pengetahuan dan Teknologi Keolahragaan (Sport Science)</t>
    </r>
  </si>
  <si>
    <r>
      <rPr>
        <sz val="6"/>
        <rFont val="Arial MT"/>
        <family val="2"/>
      </rPr>
      <t>2.19.03.1.03.0008</t>
    </r>
  </si>
  <si>
    <r>
      <rPr>
        <sz val="6"/>
        <rFont val="Arial MT"/>
        <family val="2"/>
      </rPr>
      <t>Penyediaan data Keolahragaan terpadu di provinsi</t>
    </r>
  </si>
  <si>
    <r>
      <rPr>
        <sz val="6"/>
        <rFont val="Arial MT"/>
        <family val="2"/>
      </rPr>
      <t>2.19.03.1.03.0009</t>
    </r>
  </si>
  <si>
    <r>
      <rPr>
        <sz val="6"/>
        <rFont val="Arial MT"/>
        <family val="2"/>
      </rPr>
      <t xml:space="preserve">Pembinaan dan Pengembangan
</t>
    </r>
    <r>
      <rPr>
        <sz val="6"/>
        <rFont val="Arial MT"/>
        <family val="2"/>
      </rPr>
      <t>Olahragawan Berprestasi Provinsi</t>
    </r>
  </si>
  <si>
    <r>
      <rPr>
        <b/>
        <sz val="6"/>
        <rFont val="Arial"/>
        <family val="2"/>
      </rPr>
      <t>2.19.03.1.04</t>
    </r>
  </si>
  <si>
    <r>
      <rPr>
        <b/>
        <sz val="6"/>
        <rFont val="Arial"/>
        <family val="2"/>
      </rPr>
      <t xml:space="preserve">Pembinaan dan Pengembangan
</t>
    </r>
    <r>
      <rPr>
        <b/>
        <sz val="6"/>
        <rFont val="Arial"/>
        <family val="2"/>
      </rPr>
      <t>Organisasi Olahraga</t>
    </r>
  </si>
  <si>
    <r>
      <rPr>
        <sz val="6"/>
        <rFont val="Arial MT"/>
        <family val="2"/>
      </rPr>
      <t>2.19.03.1.04.0003</t>
    </r>
  </si>
  <si>
    <r>
      <rPr>
        <sz val="6"/>
        <rFont val="Arial MT"/>
        <family val="2"/>
      </rPr>
      <t xml:space="preserve">Peningkatan Kerja Sama Organisasi
</t>
    </r>
    <r>
      <rPr>
        <sz val="6"/>
        <rFont val="Arial MT"/>
        <family val="2"/>
      </rPr>
      <t>Keolahragaan Provinsi dengan Lembaga Terkait</t>
    </r>
  </si>
  <si>
    <r>
      <rPr>
        <sz val="6"/>
        <rFont val="Arial MT"/>
        <family val="2"/>
      </rPr>
      <t>2.19.03.1.04.0005</t>
    </r>
  </si>
  <si>
    <r>
      <rPr>
        <sz val="6"/>
        <rFont val="Arial MT"/>
        <family val="2"/>
      </rPr>
      <t xml:space="preserve">Pelaksanaan Standar nasional
</t>
    </r>
    <r>
      <rPr>
        <sz val="6"/>
        <rFont val="Arial MT"/>
        <family val="2"/>
      </rPr>
      <t>pengelolaan Organisasi Keolahragaan di provinsi</t>
    </r>
  </si>
  <si>
    <r>
      <rPr>
        <b/>
        <sz val="6"/>
        <rFont val="Arial"/>
        <family val="2"/>
      </rPr>
      <t xml:space="preserve">PROGRAM PENGEMBANGAN
</t>
    </r>
    <r>
      <rPr>
        <b/>
        <sz val="6"/>
        <rFont val="Arial"/>
        <family val="2"/>
      </rPr>
      <t>KAPASITAS KEPRAMUKAAN</t>
    </r>
  </si>
  <si>
    <r>
      <rPr>
        <b/>
        <sz val="6"/>
        <rFont val="Arial"/>
        <family val="2"/>
      </rPr>
      <t>2.19.04.1.01</t>
    </r>
  </si>
  <si>
    <r>
      <rPr>
        <b/>
        <sz val="6"/>
        <rFont val="Arial"/>
        <family val="2"/>
      </rPr>
      <t xml:space="preserve">Pembinaan dan Pengembangan
</t>
    </r>
    <r>
      <rPr>
        <b/>
        <sz val="6"/>
        <rFont val="Arial"/>
        <family val="2"/>
      </rPr>
      <t>Organisasi Kepramukaan</t>
    </r>
  </si>
  <si>
    <r>
      <rPr>
        <sz val="6"/>
        <rFont val="Arial MT"/>
        <family val="2"/>
      </rPr>
      <t>2.19.04.1.01.0002</t>
    </r>
  </si>
  <si>
    <r>
      <rPr>
        <sz val="6"/>
        <rFont val="Arial MT"/>
        <family val="2"/>
      </rPr>
      <t xml:space="preserve">Peningkatan Kapasitas Organisasi
</t>
    </r>
    <r>
      <rPr>
        <sz val="6"/>
        <rFont val="Arial MT"/>
        <family val="2"/>
      </rPr>
      <t>Kepramukaan Provinsi</t>
    </r>
  </si>
  <si>
    <r>
      <rPr>
        <sz val="6"/>
        <rFont val="Arial MT"/>
        <family val="2"/>
      </rPr>
      <t>2.19.04.1.01.0003</t>
    </r>
  </si>
  <si>
    <r>
      <rPr>
        <sz val="6"/>
        <rFont val="Arial MT"/>
        <family val="2"/>
      </rPr>
      <t xml:space="preserve">Pengembangan Kapasitas SDM
</t>
    </r>
    <r>
      <rPr>
        <sz val="6"/>
        <rFont val="Arial MT"/>
        <family val="2"/>
      </rPr>
      <t>Kepramukaan Provinsi</t>
    </r>
  </si>
  <si>
    <r>
      <rPr>
        <sz val="6"/>
        <rFont val="Arial MT"/>
        <family val="2"/>
      </rPr>
      <t>2.19.04.1.01.0004</t>
    </r>
  </si>
  <si>
    <r>
      <rPr>
        <sz val="6"/>
        <rFont val="Arial MT"/>
        <family val="2"/>
      </rPr>
      <t>Penyediaan Pusat Pendidikan dan Pelatihan Kepramukaan di Daerah Provinsi</t>
    </r>
  </si>
  <si>
    <r>
      <rPr>
        <b/>
        <sz val="6"/>
        <rFont val="Arial"/>
        <family val="2"/>
      </rPr>
      <t>2.19.0.00.0.00.01.0001</t>
    </r>
  </si>
  <si>
    <r>
      <rPr>
        <b/>
        <sz val="6"/>
        <rFont val="Arial"/>
        <family val="2"/>
      </rPr>
      <t>UPTD KBOR</t>
    </r>
  </si>
  <si>
    <r>
      <rPr>
        <sz val="6"/>
        <rFont val="Arial MT"/>
        <family val="2"/>
      </rPr>
      <t>Penyediaan Komponen Instalasi Listrik/Penerangan Bangunan Kantor</t>
    </r>
  </si>
  <si>
    <r>
      <rPr>
        <sz val="6"/>
        <rFont val="Arial MT"/>
        <family val="2"/>
      </rPr>
      <t xml:space="preserve">Penyediaan Peralatan dan Perlengkapan
</t>
    </r>
    <r>
      <rPr>
        <sz val="6"/>
        <rFont val="Arial MT"/>
        <family val="2"/>
      </rPr>
      <t>Kantor</t>
    </r>
  </si>
  <si>
    <r>
      <rPr>
        <sz val="6"/>
        <rFont val="Arial MT"/>
        <family val="2"/>
      </rPr>
      <t>Penyediaan Barang Cetakan dan Penggandaan</t>
    </r>
  </si>
  <si>
    <r>
      <rPr>
        <b/>
        <sz val="6"/>
        <rFont val="Arial"/>
        <family val="2"/>
      </rPr>
      <t xml:space="preserve">Pengadaan Barang Milik Daerah
</t>
    </r>
    <r>
      <rPr>
        <b/>
        <sz val="6"/>
        <rFont val="Arial"/>
        <family val="2"/>
      </rPr>
      <t>Penunjang Urusan Pemerintah Daerah</t>
    </r>
  </si>
  <si>
    <r>
      <rPr>
        <sz val="6"/>
        <rFont val="Arial MT"/>
        <family val="2"/>
      </rPr>
      <t xml:space="preserve">Pemeliharaan/Rehabilitasi Sarana dan Prasarana Gedung Kantor atau Bangunan
</t>
    </r>
    <r>
      <rPr>
        <sz val="6"/>
        <rFont val="Arial MT"/>
        <family val="2"/>
      </rPr>
      <t>Lainnya</t>
    </r>
  </si>
  <si>
    <r>
      <rPr>
        <sz val="6"/>
        <rFont val="Arial MT"/>
        <family val="2"/>
      </rPr>
      <t>2.19.01.1.09.0011</t>
    </r>
  </si>
  <si>
    <r>
      <rPr>
        <sz val="6"/>
        <rFont val="Arial MT"/>
        <family val="2"/>
      </rPr>
      <t xml:space="preserve">Pemeliharaan/Rehabilitasi Sarana dan
</t>
    </r>
    <r>
      <rPr>
        <sz val="6"/>
        <rFont val="Arial MT"/>
        <family val="2"/>
      </rPr>
      <t>Prasarana Pendukung Gedung Kantor atau Bangunan Lainnya</t>
    </r>
  </si>
  <si>
    <r>
      <rPr>
        <b/>
        <sz val="6"/>
        <rFont val="Arial"/>
        <family val="2"/>
      </rPr>
      <t>2.19.03.1.01</t>
    </r>
  </si>
  <si>
    <r>
      <rPr>
        <b/>
        <sz val="6"/>
        <rFont val="Arial"/>
        <family val="2"/>
      </rPr>
      <t>Pembinaan dan Pengembangan Olahraga Pendidikan pada Jenjang Pendidikan yang Menjadi Kewenangan Daerah Provinsi</t>
    </r>
  </si>
  <si>
    <r>
      <rPr>
        <sz val="6"/>
        <rFont val="Arial MT"/>
        <family val="2"/>
      </rPr>
      <t>2.19.03.1.01.0004</t>
    </r>
  </si>
  <si>
    <r>
      <rPr>
        <sz val="6"/>
        <rFont val="Arial MT"/>
        <family val="2"/>
      </rPr>
      <t xml:space="preserve">Koordinasi dan sinkronisasi penyediaan prasarana olahraga melalui perencanaan, pengadaan, pemanfaatan, pemeliharaan, dan pengawasan Prasarana Olahraga di
</t>
    </r>
    <r>
      <rPr>
        <sz val="6"/>
        <rFont val="Arial MT"/>
        <family val="2"/>
      </rPr>
      <t>tingkat provinsi</t>
    </r>
  </si>
  <si>
    <r>
      <rPr>
        <sz val="6"/>
        <rFont val="Arial MT"/>
        <family val="2"/>
      </rPr>
      <t>2.19.03.1.02.0004</t>
    </r>
  </si>
  <si>
    <r>
      <rPr>
        <sz val="6"/>
        <rFont val="Arial MT"/>
        <family val="2"/>
      </rPr>
      <t>Keikutsertaan anggota kontingen provinsi dalam Penyelenggaraan pekan dan kejuaraan olahraga</t>
    </r>
  </si>
  <si>
    <r>
      <rPr>
        <b/>
        <sz val="6"/>
        <rFont val="Arial"/>
        <family val="2"/>
      </rPr>
      <t xml:space="preserve">Pembinaan dan Pengembangan
</t>
    </r>
    <r>
      <rPr>
        <b/>
        <sz val="6"/>
        <rFont val="Arial"/>
        <family val="2"/>
      </rPr>
      <t>Olahraga Prestasi Tingkat Nasional</t>
    </r>
  </si>
  <si>
    <r>
      <rPr>
        <sz val="6"/>
        <rFont val="Arial MT"/>
        <family val="2"/>
      </rPr>
      <t>Pemberian Penghargaan olahraga bagi yang berprestasi dan/atau berjasa dalam memajukan Olahraga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</si>
</sst>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m\.d\.yy;@"/>
  </numFmts>
  <fonts count="14" x14ac:knownFonts="1">
    <font>
      <sz val="10"/>
      <color rgb="FF000000"/>
      <name val="Times New Roman"/>
      <charset val="204"/>
    </font>
    <font>
      <sz val="5"/>
      <name val="Arial MT"/>
    </font>
    <font>
      <b/>
      <sz val="5"/>
      <name val="Arial"/>
      <family val="2"/>
    </font>
    <font>
      <sz val="5"/>
      <name val="Arial MT"/>
      <family val="2"/>
    </font>
    <font>
      <sz val="10"/>
      <color rgb="FF000000"/>
      <name val="Times New Roman"/>
      <family val="1"/>
    </font>
    <font>
      <sz val="5"/>
      <name val="Times New Roman"/>
      <family val="1"/>
    </font>
    <font>
      <b/>
      <sz val="5"/>
      <name val="Times New Roman"/>
      <family val="1"/>
    </font>
    <font>
      <b/>
      <sz val="5"/>
      <color rgb="FF000000"/>
      <name val="Times New Roman"/>
      <family val="1"/>
    </font>
    <font>
      <sz val="5"/>
      <color rgb="FF000000"/>
      <name val="Times New Roman"/>
      <family val="1"/>
    </font>
    <font>
      <sz val="6"/>
      <name val="Arial MT"/>
    </font>
    <font>
      <b/>
      <sz val="6"/>
      <name val="Arial"/>
      <family val="2"/>
    </font>
    <font>
      <b/>
      <sz val="6"/>
      <color rgb="FF000000"/>
      <name val="Arial"/>
      <family val="2"/>
    </font>
    <font>
      <sz val="6"/>
      <color rgb="FF000000"/>
      <name val="Arial MT"/>
      <family val="2"/>
    </font>
    <font>
      <sz val="6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BE3D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92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 indent="2"/>
    </xf>
    <xf numFmtId="4" fontId="7" fillId="2" borderId="1" xfId="0" applyNumberFormat="1" applyFont="1" applyFill="1" applyBorder="1" applyAlignment="1">
      <alignment horizontal="center" vertical="center" shrinkToFit="1"/>
    </xf>
    <xf numFmtId="4" fontId="7" fillId="2" borderId="1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4" fontId="7" fillId="2" borderId="5" xfId="0" applyNumberFormat="1" applyFont="1" applyFill="1" applyBorder="1" applyAlignment="1">
      <alignment horizontal="right" vertical="center" shrinkToFit="1"/>
    </xf>
    <xf numFmtId="4" fontId="7" fillId="2" borderId="6" xfId="0" applyNumberFormat="1" applyFont="1" applyFill="1" applyBorder="1" applyAlignment="1">
      <alignment horizontal="right" vertical="center" shrinkToFit="1"/>
    </xf>
    <xf numFmtId="4" fontId="7" fillId="2" borderId="7" xfId="0" applyNumberFormat="1" applyFont="1" applyFill="1" applyBorder="1" applyAlignment="1">
      <alignment horizontal="right" vertical="center" shrinkToFi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top"/>
    </xf>
    <xf numFmtId="0" fontId="8" fillId="0" borderId="8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2" fontId="8" fillId="0" borderId="0" xfId="0" applyNumberFormat="1" applyFont="1" applyFill="1" applyBorder="1" applyAlignment="1">
      <alignment horizontal="left" vertical="top"/>
    </xf>
    <xf numFmtId="4" fontId="7" fillId="2" borderId="5" xfId="0" applyNumberFormat="1" applyFont="1" applyFill="1" applyBorder="1" applyAlignment="1">
      <alignment horizontal="left" vertical="center" shrinkToFit="1"/>
    </xf>
    <xf numFmtId="0" fontId="5" fillId="0" borderId="1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center" vertical="top"/>
    </xf>
    <xf numFmtId="0" fontId="4" fillId="0" borderId="9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0" fontId="8" fillId="0" borderId="8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3"/>
    </xf>
    <xf numFmtId="0" fontId="5" fillId="0" borderId="3" xfId="0" applyFont="1" applyFill="1" applyBorder="1" applyAlignment="1">
      <alignment horizontal="left" vertical="top" wrapText="1" indent="3"/>
    </xf>
    <xf numFmtId="0" fontId="5" fillId="0" borderId="4" xfId="0" applyFont="1" applyFill="1" applyBorder="1" applyAlignment="1">
      <alignment horizontal="left" vertical="top" wrapText="1" indent="3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 indent="1"/>
    </xf>
    <xf numFmtId="0" fontId="5" fillId="0" borderId="3" xfId="0" applyFont="1" applyFill="1" applyBorder="1" applyAlignment="1">
      <alignment horizontal="left" vertical="center" wrapText="1" indent="1"/>
    </xf>
    <xf numFmtId="0" fontId="5" fillId="0" borderId="4" xfId="0" applyFont="1" applyFill="1" applyBorder="1" applyAlignment="1">
      <alignment horizontal="left" vertical="center" wrapText="1" indent="1"/>
    </xf>
    <xf numFmtId="0" fontId="5" fillId="0" borderId="2" xfId="0" applyFont="1" applyFill="1" applyBorder="1" applyAlignment="1">
      <alignment horizontal="left" vertical="center" wrapText="1" indent="2"/>
    </xf>
    <xf numFmtId="0" fontId="5" fillId="0" borderId="3" xfId="0" applyFont="1" applyFill="1" applyBorder="1" applyAlignment="1">
      <alignment horizontal="left" vertical="center" wrapText="1" indent="2"/>
    </xf>
    <xf numFmtId="0" fontId="5" fillId="0" borderId="4" xfId="0" applyFont="1" applyFill="1" applyBorder="1" applyAlignment="1">
      <alignment horizontal="left" vertical="center" wrapText="1" indent="2"/>
    </xf>
    <xf numFmtId="0" fontId="1" fillId="0" borderId="0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9" fillId="0" borderId="5" xfId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left" vertical="top" wrapText="1" indent="2"/>
    </xf>
    <xf numFmtId="0" fontId="9" fillId="0" borderId="1" xfId="1" applyFont="1" applyFill="1" applyBorder="1" applyAlignment="1">
      <alignment horizontal="center" vertical="top" wrapText="1"/>
    </xf>
    <xf numFmtId="0" fontId="10" fillId="3" borderId="1" xfId="1" applyFont="1" applyFill="1" applyBorder="1" applyAlignment="1">
      <alignment horizontal="left" vertical="top" wrapText="1"/>
    </xf>
    <xf numFmtId="4" fontId="11" fillId="3" borderId="1" xfId="1" applyNumberFormat="1" applyFont="1" applyFill="1" applyBorder="1" applyAlignment="1">
      <alignment horizontal="right" vertical="top" shrinkToFit="1"/>
    </xf>
    <xf numFmtId="0" fontId="10" fillId="0" borderId="1" xfId="1" applyFont="1" applyFill="1" applyBorder="1" applyAlignment="1">
      <alignment horizontal="left" vertical="top" wrapText="1"/>
    </xf>
    <xf numFmtId="4" fontId="11" fillId="0" borderId="1" xfId="1" applyNumberFormat="1" applyFont="1" applyFill="1" applyBorder="1" applyAlignment="1">
      <alignment horizontal="right" vertical="top" shrinkToFit="1"/>
    </xf>
    <xf numFmtId="168" fontId="11" fillId="0" borderId="1" xfId="1" applyNumberFormat="1" applyFont="1" applyFill="1" applyBorder="1" applyAlignment="1">
      <alignment horizontal="left" vertical="top" shrinkToFit="1"/>
    </xf>
    <xf numFmtId="0" fontId="4" fillId="0" borderId="1" xfId="1" applyFill="1" applyBorder="1" applyAlignment="1">
      <alignment horizontal="left" vertical="top" wrapText="1"/>
    </xf>
    <xf numFmtId="168" fontId="11" fillId="0" borderId="1" xfId="1" applyNumberFormat="1" applyFont="1" applyFill="1" applyBorder="1" applyAlignment="1">
      <alignment horizontal="left" vertical="center" shrinkToFit="1"/>
    </xf>
    <xf numFmtId="4" fontId="11" fillId="0" borderId="1" xfId="1" applyNumberFormat="1" applyFont="1" applyFill="1" applyBorder="1" applyAlignment="1">
      <alignment horizontal="right" vertical="center" shrinkToFit="1"/>
    </xf>
    <xf numFmtId="2" fontId="11" fillId="0" borderId="1" xfId="1" applyNumberFormat="1" applyFont="1" applyFill="1" applyBorder="1" applyAlignment="1">
      <alignment horizontal="right" vertical="top" shrinkToFit="1"/>
    </xf>
    <xf numFmtId="0" fontId="9" fillId="0" borderId="1" xfId="1" applyFont="1" applyFill="1" applyBorder="1" applyAlignment="1">
      <alignment horizontal="left" vertical="top" wrapText="1"/>
    </xf>
    <xf numFmtId="4" fontId="12" fillId="0" borderId="1" xfId="1" applyNumberFormat="1" applyFont="1" applyFill="1" applyBorder="1" applyAlignment="1">
      <alignment horizontal="right" vertical="top" shrinkToFit="1"/>
    </xf>
    <xf numFmtId="2" fontId="12" fillId="0" borderId="1" xfId="1" applyNumberFormat="1" applyFont="1" applyFill="1" applyBorder="1" applyAlignment="1">
      <alignment horizontal="right" vertical="top" shrinkToFit="1"/>
    </xf>
    <xf numFmtId="0" fontId="9" fillId="0" borderId="1" xfId="1" applyFont="1" applyFill="1" applyBorder="1" applyAlignment="1">
      <alignment horizontal="left" vertical="center" wrapText="1"/>
    </xf>
    <xf numFmtId="2" fontId="12" fillId="0" borderId="1" xfId="1" applyNumberFormat="1" applyFont="1" applyFill="1" applyBorder="1" applyAlignment="1">
      <alignment horizontal="right" vertical="center" shrinkToFit="1"/>
    </xf>
    <xf numFmtId="0" fontId="10" fillId="0" borderId="1" xfId="1" applyFont="1" applyFill="1" applyBorder="1" applyAlignment="1">
      <alignment horizontal="left" vertical="center" wrapText="1"/>
    </xf>
    <xf numFmtId="4" fontId="12" fillId="0" borderId="1" xfId="1" applyNumberFormat="1" applyFont="1" applyFill="1" applyBorder="1" applyAlignment="1">
      <alignment horizontal="right" vertical="center" shrinkToFit="1"/>
    </xf>
    <xf numFmtId="0" fontId="9" fillId="0" borderId="2" xfId="1" applyFont="1" applyFill="1" applyBorder="1" applyAlignment="1">
      <alignment horizontal="left" vertical="top" wrapText="1"/>
    </xf>
    <xf numFmtId="4" fontId="12" fillId="0" borderId="2" xfId="1" applyNumberFormat="1" applyFont="1" applyFill="1" applyBorder="1" applyAlignment="1">
      <alignment horizontal="right" vertical="top" shrinkToFit="1"/>
    </xf>
    <xf numFmtId="2" fontId="12" fillId="0" borderId="2" xfId="1" applyNumberFormat="1" applyFont="1" applyFill="1" applyBorder="1" applyAlignment="1">
      <alignment horizontal="right" vertical="top" shrinkToFit="1"/>
    </xf>
    <xf numFmtId="0" fontId="4" fillId="0" borderId="1" xfId="1" applyFill="1" applyBorder="1" applyAlignment="1">
      <alignment horizontal="left" vertical="center" wrapText="1"/>
    </xf>
    <xf numFmtId="2" fontId="11" fillId="0" borderId="1" xfId="1" applyNumberFormat="1" applyFont="1" applyFill="1" applyBorder="1" applyAlignment="1">
      <alignment horizontal="right" vertical="center" shrinkToFit="1"/>
    </xf>
    <xf numFmtId="0" fontId="9" fillId="0" borderId="6" xfId="1" applyFont="1" applyFill="1" applyBorder="1" applyAlignment="1">
      <alignment horizontal="center" vertical="top" wrapText="1"/>
    </xf>
    <xf numFmtId="0" fontId="9" fillId="0" borderId="7" xfId="1" applyFont="1" applyFill="1" applyBorder="1" applyAlignment="1">
      <alignment horizontal="center" vertical="top" wrapText="1"/>
    </xf>
    <xf numFmtId="0" fontId="9" fillId="0" borderId="2" xfId="1" applyFont="1" applyFill="1" applyBorder="1" applyAlignment="1">
      <alignment horizontal="left" vertical="top" wrapText="1" indent="2"/>
    </xf>
    <xf numFmtId="0" fontId="9" fillId="0" borderId="3" xfId="1" applyFont="1" applyFill="1" applyBorder="1" applyAlignment="1">
      <alignment horizontal="left" vertical="top" wrapText="1" indent="2"/>
    </xf>
    <xf numFmtId="0" fontId="9" fillId="0" borderId="4" xfId="1" applyFont="1" applyFill="1" applyBorder="1" applyAlignment="1">
      <alignment horizontal="left" vertical="top" wrapText="1" indent="2"/>
    </xf>
    <xf numFmtId="0" fontId="9" fillId="0" borderId="2" xfId="1" applyFont="1" applyFill="1" applyBorder="1" applyAlignment="1">
      <alignment horizontal="center" vertical="center" wrapText="1"/>
    </xf>
    <xf numFmtId="0" fontId="9" fillId="0" borderId="3" xfId="1" applyFont="1" applyFill="1" applyBorder="1" applyAlignment="1">
      <alignment horizontal="center" vertical="center" wrapText="1"/>
    </xf>
    <xf numFmtId="0" fontId="9" fillId="0" borderId="4" xfId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left" vertical="center" wrapText="1"/>
    </xf>
    <xf numFmtId="0" fontId="9" fillId="0" borderId="3" xfId="1" applyFont="1" applyFill="1" applyBorder="1" applyAlignment="1">
      <alignment horizontal="left" vertical="center" wrapText="1"/>
    </xf>
    <xf numFmtId="0" fontId="9" fillId="0" borderId="4" xfId="1" applyFont="1" applyFill="1" applyBorder="1" applyAlignment="1">
      <alignment horizontal="left" vertical="center" wrapText="1"/>
    </xf>
    <xf numFmtId="0" fontId="9" fillId="0" borderId="2" xfId="1" applyFont="1" applyFill="1" applyBorder="1" applyAlignment="1">
      <alignment horizontal="left" vertical="center" wrapText="1" indent="1"/>
    </xf>
    <xf numFmtId="0" fontId="9" fillId="0" borderId="3" xfId="1" applyFont="1" applyFill="1" applyBorder="1" applyAlignment="1">
      <alignment horizontal="left" vertical="center" wrapText="1" indent="1"/>
    </xf>
    <xf numFmtId="0" fontId="9" fillId="0" borderId="4" xfId="1" applyFont="1" applyFill="1" applyBorder="1" applyAlignment="1">
      <alignment horizontal="left" vertical="center" wrapText="1" indent="1"/>
    </xf>
    <xf numFmtId="0" fontId="10" fillId="2" borderId="5" xfId="1" applyFont="1" applyFill="1" applyBorder="1" applyAlignment="1">
      <alignment horizontal="left" vertical="top" wrapText="1"/>
    </xf>
    <xf numFmtId="0" fontId="10" fillId="2" borderId="6" xfId="1" applyFont="1" applyFill="1" applyBorder="1" applyAlignment="1">
      <alignment horizontal="left" vertical="top" wrapText="1"/>
    </xf>
    <xf numFmtId="0" fontId="10" fillId="2" borderId="7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2"/>
  <sheetViews>
    <sheetView tabSelected="1" topLeftCell="A86" zoomScale="115" zoomScaleNormal="115" workbookViewId="0">
      <selection activeCell="B98" sqref="B98:B132"/>
    </sheetView>
  </sheetViews>
  <sheetFormatPr defaultRowHeight="12.75" x14ac:dyDescent="0.2"/>
  <cols>
    <col min="1" max="1" width="5.6640625" customWidth="1"/>
    <col min="2" max="2" width="24.832031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34.35" customHeight="1" x14ac:dyDescent="0.2"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8"/>
    </row>
    <row r="2" spans="1:30" ht="34.35" customHeight="1" x14ac:dyDescent="0.2">
      <c r="B2" s="1"/>
      <c r="C2" s="1"/>
      <c r="D2" s="1"/>
      <c r="E2" s="1"/>
      <c r="F2" s="1"/>
      <c r="G2" s="28" t="s">
        <v>27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8" t="s">
        <v>28</v>
      </c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</row>
    <row r="3" spans="1:30" s="2" customFormat="1" ht="12.6" customHeight="1" x14ac:dyDescent="0.2">
      <c r="A3" s="33" t="s">
        <v>26</v>
      </c>
      <c r="B3" s="33" t="s">
        <v>2</v>
      </c>
      <c r="C3" s="35" t="s">
        <v>3</v>
      </c>
      <c r="D3" s="38" t="s">
        <v>4</v>
      </c>
      <c r="E3" s="41" t="s">
        <v>5</v>
      </c>
      <c r="F3" s="44" t="s">
        <v>6</v>
      </c>
      <c r="G3" s="30" t="s">
        <v>7</v>
      </c>
      <c r="H3" s="31"/>
      <c r="I3" s="31"/>
      <c r="J3" s="31"/>
      <c r="K3" s="31"/>
      <c r="L3" s="32"/>
      <c r="M3" s="30" t="s">
        <v>8</v>
      </c>
      <c r="N3" s="31"/>
      <c r="O3" s="31"/>
      <c r="P3" s="31"/>
      <c r="Q3" s="31"/>
      <c r="R3" s="32"/>
      <c r="S3" s="30" t="s">
        <v>7</v>
      </c>
      <c r="T3" s="31"/>
      <c r="U3" s="31"/>
      <c r="V3" s="31"/>
      <c r="W3" s="31"/>
      <c r="X3" s="32"/>
      <c r="Y3" s="30" t="s">
        <v>8</v>
      </c>
      <c r="Z3" s="31"/>
      <c r="AA3" s="31"/>
      <c r="AB3" s="31"/>
      <c r="AC3" s="31"/>
      <c r="AD3" s="32"/>
    </row>
    <row r="4" spans="1:30" s="2" customFormat="1" ht="12.6" customHeight="1" x14ac:dyDescent="0.2">
      <c r="A4" s="33"/>
      <c r="B4" s="33"/>
      <c r="C4" s="36"/>
      <c r="D4" s="39"/>
      <c r="E4" s="42"/>
      <c r="F4" s="45"/>
      <c r="G4" s="30" t="s">
        <v>9</v>
      </c>
      <c r="H4" s="31"/>
      <c r="I4" s="32"/>
      <c r="J4" s="30" t="s">
        <v>10</v>
      </c>
      <c r="K4" s="31"/>
      <c r="L4" s="32"/>
      <c r="M4" s="30" t="s">
        <v>11</v>
      </c>
      <c r="N4" s="31"/>
      <c r="O4" s="32"/>
      <c r="P4" s="30" t="s">
        <v>12</v>
      </c>
      <c r="Q4" s="31"/>
      <c r="R4" s="32"/>
      <c r="S4" s="30" t="s">
        <v>9</v>
      </c>
      <c r="T4" s="31"/>
      <c r="U4" s="32"/>
      <c r="V4" s="30" t="s">
        <v>10</v>
      </c>
      <c r="W4" s="31"/>
      <c r="X4" s="32"/>
      <c r="Y4" s="30" t="s">
        <v>11</v>
      </c>
      <c r="Z4" s="31"/>
      <c r="AA4" s="32"/>
      <c r="AB4" s="30" t="s">
        <v>12</v>
      </c>
      <c r="AC4" s="31"/>
      <c r="AD4" s="32"/>
    </row>
    <row r="5" spans="1:30" s="2" customFormat="1" ht="13.35" customHeight="1" x14ac:dyDescent="0.2">
      <c r="A5" s="33"/>
      <c r="B5" s="33"/>
      <c r="C5" s="37"/>
      <c r="D5" s="40"/>
      <c r="E5" s="43"/>
      <c r="F5" s="46"/>
      <c r="G5" s="3" t="s">
        <v>13</v>
      </c>
      <c r="H5" s="4" t="s">
        <v>14</v>
      </c>
      <c r="I5" s="3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4" t="s">
        <v>20</v>
      </c>
      <c r="O5" s="4" t="s">
        <v>21</v>
      </c>
      <c r="P5" s="4" t="s">
        <v>22</v>
      </c>
      <c r="Q5" s="4" t="s">
        <v>23</v>
      </c>
      <c r="R5" s="4" t="s">
        <v>24</v>
      </c>
      <c r="S5" s="26" t="s">
        <v>30</v>
      </c>
      <c r="T5" s="26" t="s">
        <v>29</v>
      </c>
      <c r="U5" s="26" t="s">
        <v>31</v>
      </c>
      <c r="V5" s="26" t="s">
        <v>16</v>
      </c>
      <c r="W5" s="26" t="s">
        <v>32</v>
      </c>
      <c r="X5" s="26" t="s">
        <v>33</v>
      </c>
      <c r="Y5" s="26" t="s">
        <v>34</v>
      </c>
      <c r="Z5" s="26" t="s">
        <v>35</v>
      </c>
      <c r="AA5" s="26" t="s">
        <v>21</v>
      </c>
      <c r="AB5" s="26" t="s">
        <v>36</v>
      </c>
      <c r="AC5" s="26" t="s">
        <v>23</v>
      </c>
      <c r="AD5" s="26" t="s">
        <v>37</v>
      </c>
    </row>
    <row r="6" spans="1:30" s="2" customFormat="1" ht="13.35" customHeight="1" x14ac:dyDescent="0.2">
      <c r="A6" s="27"/>
      <c r="B6" s="27"/>
      <c r="C6" s="89" t="s">
        <v>38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1"/>
      <c r="S6" s="24" t="e">
        <f>G6/$E6*100</f>
        <v>#DIV/0!</v>
      </c>
      <c r="T6" s="24" t="e">
        <f t="shared" ref="T6" si="0">H6/$E6*100</f>
        <v>#DIV/0!</v>
      </c>
      <c r="U6" s="24" t="e">
        <f t="shared" ref="U6" si="1">I6/$E6*100</f>
        <v>#DIV/0!</v>
      </c>
      <c r="V6" s="24" t="e">
        <f t="shared" ref="V6" si="2">J6/$E6*100</f>
        <v>#DIV/0!</v>
      </c>
      <c r="W6" s="24" t="e">
        <f t="shared" ref="W6" si="3">K6/$E6*100</f>
        <v>#DIV/0!</v>
      </c>
      <c r="X6" s="24" t="e">
        <f t="shared" ref="X6" si="4">L6/$E6*100</f>
        <v>#DIV/0!</v>
      </c>
      <c r="Y6" s="24" t="e">
        <f t="shared" ref="Y6" si="5">M6/$E6*100</f>
        <v>#DIV/0!</v>
      </c>
      <c r="Z6" s="24" t="e">
        <f t="shared" ref="Z6" si="6">N6/$E6*100</f>
        <v>#DIV/0!</v>
      </c>
      <c r="AA6" s="24" t="e">
        <f t="shared" ref="AA6" si="7">O6/$E6*100</f>
        <v>#DIV/0!</v>
      </c>
      <c r="AB6" s="24" t="e">
        <f t="shared" ref="AB6" si="8">P6/$E6*100</f>
        <v>#DIV/0!</v>
      </c>
      <c r="AC6" s="24" t="e">
        <f t="shared" ref="AC6" si="9">Q6/$E6*100</f>
        <v>#DIV/0!</v>
      </c>
      <c r="AD6" s="24" t="e">
        <f t="shared" ref="AD6" si="10">R6/$E6*100</f>
        <v>#DIV/0!</v>
      </c>
    </row>
    <row r="7" spans="1:30" ht="16.5" x14ac:dyDescent="0.2">
      <c r="C7" s="54" t="s">
        <v>39</v>
      </c>
      <c r="D7" s="54" t="s">
        <v>40</v>
      </c>
      <c r="E7" s="55">
        <v>52519058912</v>
      </c>
      <c r="F7" s="55">
        <v>52519058912</v>
      </c>
      <c r="G7" s="55">
        <v>437663520</v>
      </c>
      <c r="H7" s="55">
        <v>1474735281</v>
      </c>
      <c r="I7" s="55">
        <v>12816189762</v>
      </c>
      <c r="J7" s="55">
        <v>2741301245</v>
      </c>
      <c r="K7" s="55">
        <v>1938091781</v>
      </c>
      <c r="L7" s="55">
        <v>3171094781</v>
      </c>
      <c r="M7" s="55">
        <v>20888241500</v>
      </c>
      <c r="N7" s="55">
        <v>2981711720</v>
      </c>
      <c r="O7" s="55">
        <v>2733355281</v>
      </c>
      <c r="P7" s="55">
        <v>1445391883</v>
      </c>
      <c r="Q7" s="55">
        <v>833815281</v>
      </c>
      <c r="R7" s="55">
        <v>1057466877</v>
      </c>
      <c r="S7" s="24">
        <f t="shared" ref="S7:S70" si="11">G7/$E7*100</f>
        <v>0.83334227434147512</v>
      </c>
      <c r="T7" s="24">
        <f t="shared" ref="T7:T70" si="12">H7/$E7*100</f>
        <v>2.8080002032615252</v>
      </c>
      <c r="U7" s="24">
        <f t="shared" ref="U7:U70" si="13">I7/$E7*100</f>
        <v>24.402931102544276</v>
      </c>
      <c r="V7" s="24">
        <f t="shared" ref="V7:V70" si="14">J7/$E7*100</f>
        <v>5.2196313144020259</v>
      </c>
      <c r="W7" s="24">
        <f t="shared" ref="W7:W70" si="15">K7/$E7*100</f>
        <v>3.6902637273973853</v>
      </c>
      <c r="X7" s="24">
        <f t="shared" ref="X7:X70" si="16">L7/$E7*100</f>
        <v>6.0379885829893292</v>
      </c>
      <c r="Y7" s="24">
        <f t="shared" ref="Y7:Y70" si="17">M7/$E7*100</f>
        <v>39.77268811118639</v>
      </c>
      <c r="Z7" s="24">
        <f t="shared" ref="Z7:Z70" si="18">N7/$E7*100</f>
        <v>5.677389850027784</v>
      </c>
      <c r="AA7" s="24">
        <f t="shared" ref="AA7:AA70" si="19">O7/$E7*100</f>
        <v>5.2045016373579003</v>
      </c>
      <c r="AB7" s="24">
        <f t="shared" ref="AB7:AB70" si="20">P7/$E7*100</f>
        <v>2.7521282995985761</v>
      </c>
      <c r="AC7" s="24">
        <f t="shared" ref="AC7:AC70" si="21">Q7/$E7*100</f>
        <v>1.5876432256661834</v>
      </c>
      <c r="AD7" s="24">
        <f t="shared" ref="AD7:AD70" si="22">R7/$E7*100</f>
        <v>2.0134916712271496</v>
      </c>
    </row>
    <row r="8" spans="1:30" ht="24.75" x14ac:dyDescent="0.2">
      <c r="C8" s="56" t="s">
        <v>41</v>
      </c>
      <c r="D8" s="59" t="s">
        <v>42</v>
      </c>
      <c r="E8" s="57">
        <v>52519058912</v>
      </c>
      <c r="F8" s="57">
        <v>52519058912</v>
      </c>
      <c r="G8" s="57">
        <v>437663520</v>
      </c>
      <c r="H8" s="57">
        <v>1474735281</v>
      </c>
      <c r="I8" s="57">
        <v>12816189762</v>
      </c>
      <c r="J8" s="57">
        <v>2741301245</v>
      </c>
      <c r="K8" s="57">
        <v>1938091781</v>
      </c>
      <c r="L8" s="57">
        <v>3171094781</v>
      </c>
      <c r="M8" s="57">
        <v>20888241500</v>
      </c>
      <c r="N8" s="57">
        <v>2981711720</v>
      </c>
      <c r="O8" s="57">
        <v>2733355281</v>
      </c>
      <c r="P8" s="57">
        <v>1445391883</v>
      </c>
      <c r="Q8" s="57">
        <v>833815281</v>
      </c>
      <c r="R8" s="57">
        <v>1057466877</v>
      </c>
      <c r="S8" s="24">
        <f t="shared" si="11"/>
        <v>0.83334227434147512</v>
      </c>
      <c r="T8" s="24">
        <f t="shared" si="12"/>
        <v>2.8080002032615252</v>
      </c>
      <c r="U8" s="24">
        <f t="shared" si="13"/>
        <v>24.402931102544276</v>
      </c>
      <c r="V8" s="24">
        <f t="shared" si="14"/>
        <v>5.2196313144020259</v>
      </c>
      <c r="W8" s="24">
        <f t="shared" si="15"/>
        <v>3.6902637273973853</v>
      </c>
      <c r="X8" s="24">
        <f t="shared" si="16"/>
        <v>6.0379885829893292</v>
      </c>
      <c r="Y8" s="24">
        <f t="shared" si="17"/>
        <v>39.77268811118639</v>
      </c>
      <c r="Z8" s="24">
        <f t="shared" si="18"/>
        <v>5.677389850027784</v>
      </c>
      <c r="AA8" s="24">
        <f t="shared" si="19"/>
        <v>5.2045016373579003</v>
      </c>
      <c r="AB8" s="24">
        <f t="shared" si="20"/>
        <v>2.7521282995985761</v>
      </c>
      <c r="AC8" s="24">
        <f t="shared" si="21"/>
        <v>1.5876432256661834</v>
      </c>
      <c r="AD8" s="24">
        <f t="shared" si="22"/>
        <v>2.0134916712271496</v>
      </c>
    </row>
    <row r="9" spans="1:30" ht="33" x14ac:dyDescent="0.2">
      <c r="C9" s="60">
        <v>36941</v>
      </c>
      <c r="D9" s="59" t="s">
        <v>43</v>
      </c>
      <c r="E9" s="61">
        <v>13744708212</v>
      </c>
      <c r="F9" s="61">
        <v>13744708212</v>
      </c>
      <c r="G9" s="61">
        <v>437663520</v>
      </c>
      <c r="H9" s="61">
        <v>1045044281</v>
      </c>
      <c r="I9" s="61">
        <v>2135489762</v>
      </c>
      <c r="J9" s="61">
        <v>1271632070</v>
      </c>
      <c r="K9" s="61">
        <v>848266006</v>
      </c>
      <c r="L9" s="61">
        <v>1926591531</v>
      </c>
      <c r="M9" s="61">
        <v>1200520125</v>
      </c>
      <c r="N9" s="61">
        <v>933695220</v>
      </c>
      <c r="O9" s="61">
        <v>1206662781</v>
      </c>
      <c r="P9" s="61">
        <v>903090758</v>
      </c>
      <c r="Q9" s="61">
        <v>781735281</v>
      </c>
      <c r="R9" s="61">
        <v>1054316877</v>
      </c>
      <c r="S9" s="24">
        <f t="shared" si="11"/>
        <v>3.1842328934847237</v>
      </c>
      <c r="T9" s="24">
        <f t="shared" si="12"/>
        <v>7.6032482092825386</v>
      </c>
      <c r="U9" s="24">
        <f t="shared" si="13"/>
        <v>15.536814089189486</v>
      </c>
      <c r="V9" s="24">
        <f t="shared" si="14"/>
        <v>9.2517938568516485</v>
      </c>
      <c r="W9" s="24">
        <f t="shared" si="15"/>
        <v>6.1715824949954934</v>
      </c>
      <c r="X9" s="24">
        <f t="shared" si="16"/>
        <v>14.016969303997037</v>
      </c>
      <c r="Y9" s="24">
        <f t="shared" si="17"/>
        <v>8.7344169587526785</v>
      </c>
      <c r="Z9" s="24">
        <f t="shared" si="18"/>
        <v>6.7931250747456762</v>
      </c>
      <c r="AA9" s="24">
        <f t="shared" si="19"/>
        <v>8.7791080202525293</v>
      </c>
      <c r="AB9" s="24">
        <f t="shared" si="20"/>
        <v>6.5704614755775212</v>
      </c>
      <c r="AC9" s="24">
        <f t="shared" si="21"/>
        <v>5.6875363881315106</v>
      </c>
      <c r="AD9" s="24">
        <f t="shared" si="22"/>
        <v>7.6707112347391613</v>
      </c>
    </row>
    <row r="10" spans="1:30" ht="24.75" x14ac:dyDescent="0.2">
      <c r="C10" s="56" t="s">
        <v>44</v>
      </c>
      <c r="D10" s="56" t="s">
        <v>45</v>
      </c>
      <c r="E10" s="57">
        <v>29687000</v>
      </c>
      <c r="F10" s="57">
        <v>29687000</v>
      </c>
      <c r="G10" s="62">
        <v>0</v>
      </c>
      <c r="H10" s="62">
        <v>0</v>
      </c>
      <c r="I10" s="57">
        <v>29687000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24">
        <f t="shared" si="11"/>
        <v>0</v>
      </c>
      <c r="T10" s="24">
        <f t="shared" si="12"/>
        <v>0</v>
      </c>
      <c r="U10" s="24">
        <f t="shared" si="13"/>
        <v>100</v>
      </c>
      <c r="V10" s="24">
        <f t="shared" si="14"/>
        <v>0</v>
      </c>
      <c r="W10" s="24">
        <f t="shared" si="15"/>
        <v>0</v>
      </c>
      <c r="X10" s="24">
        <f t="shared" si="16"/>
        <v>0</v>
      </c>
      <c r="Y10" s="24">
        <f t="shared" si="17"/>
        <v>0</v>
      </c>
      <c r="Z10" s="24">
        <f t="shared" si="18"/>
        <v>0</v>
      </c>
      <c r="AA10" s="24">
        <f t="shared" si="19"/>
        <v>0</v>
      </c>
      <c r="AB10" s="24">
        <f t="shared" si="20"/>
        <v>0</v>
      </c>
      <c r="AC10" s="24">
        <f t="shared" si="21"/>
        <v>0</v>
      </c>
      <c r="AD10" s="24">
        <f t="shared" si="22"/>
        <v>0</v>
      </c>
    </row>
    <row r="11" spans="1:30" ht="16.5" x14ac:dyDescent="0.2">
      <c r="C11" s="63" t="s">
        <v>46</v>
      </c>
      <c r="D11" s="59" t="s">
        <v>47</v>
      </c>
      <c r="E11" s="64">
        <v>19665000</v>
      </c>
      <c r="F11" s="64">
        <v>19665000</v>
      </c>
      <c r="G11" s="65">
        <v>0</v>
      </c>
      <c r="H11" s="65">
        <v>0</v>
      </c>
      <c r="I11" s="64">
        <v>19665000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24">
        <f t="shared" si="11"/>
        <v>0</v>
      </c>
      <c r="T11" s="24">
        <f t="shared" si="12"/>
        <v>0</v>
      </c>
      <c r="U11" s="24">
        <f t="shared" si="13"/>
        <v>100</v>
      </c>
      <c r="V11" s="24">
        <f t="shared" si="14"/>
        <v>0</v>
      </c>
      <c r="W11" s="24">
        <f t="shared" si="15"/>
        <v>0</v>
      </c>
      <c r="X11" s="24">
        <f t="shared" si="16"/>
        <v>0</v>
      </c>
      <c r="Y11" s="24">
        <f t="shared" si="17"/>
        <v>0</v>
      </c>
      <c r="Z11" s="24">
        <f t="shared" si="18"/>
        <v>0</v>
      </c>
      <c r="AA11" s="24">
        <f t="shared" si="19"/>
        <v>0</v>
      </c>
      <c r="AB11" s="24">
        <f t="shared" si="20"/>
        <v>0</v>
      </c>
      <c r="AC11" s="24">
        <f t="shared" si="21"/>
        <v>0</v>
      </c>
      <c r="AD11" s="24">
        <f t="shared" si="22"/>
        <v>0</v>
      </c>
    </row>
    <row r="12" spans="1:30" ht="24.75" x14ac:dyDescent="0.2">
      <c r="C12" s="63" t="s">
        <v>48</v>
      </c>
      <c r="D12" s="59" t="s">
        <v>49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24" t="e">
        <f t="shared" si="11"/>
        <v>#DIV/0!</v>
      </c>
      <c r="T12" s="24" t="e">
        <f t="shared" si="12"/>
        <v>#DIV/0!</v>
      </c>
      <c r="U12" s="24" t="e">
        <f t="shared" si="13"/>
        <v>#DIV/0!</v>
      </c>
      <c r="V12" s="24" t="e">
        <f t="shared" si="14"/>
        <v>#DIV/0!</v>
      </c>
      <c r="W12" s="24" t="e">
        <f t="shared" si="15"/>
        <v>#DIV/0!</v>
      </c>
      <c r="X12" s="24" t="e">
        <f t="shared" si="16"/>
        <v>#DIV/0!</v>
      </c>
      <c r="Y12" s="24" t="e">
        <f t="shared" si="17"/>
        <v>#DIV/0!</v>
      </c>
      <c r="Z12" s="24" t="e">
        <f t="shared" si="18"/>
        <v>#DIV/0!</v>
      </c>
      <c r="AA12" s="24" t="e">
        <f t="shared" si="19"/>
        <v>#DIV/0!</v>
      </c>
      <c r="AB12" s="24" t="e">
        <f t="shared" si="20"/>
        <v>#DIV/0!</v>
      </c>
      <c r="AC12" s="24" t="e">
        <f t="shared" si="21"/>
        <v>#DIV/0!</v>
      </c>
      <c r="AD12" s="24" t="e">
        <f t="shared" si="22"/>
        <v>#DIV/0!</v>
      </c>
    </row>
    <row r="13" spans="1:30" x14ac:dyDescent="0.2">
      <c r="C13" s="63" t="s">
        <v>50</v>
      </c>
      <c r="D13" s="63" t="s">
        <v>51</v>
      </c>
      <c r="E13" s="64">
        <v>10022000</v>
      </c>
      <c r="F13" s="64">
        <v>10022000</v>
      </c>
      <c r="G13" s="65">
        <v>0</v>
      </c>
      <c r="H13" s="65">
        <v>0</v>
      </c>
      <c r="I13" s="64">
        <v>10022000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24">
        <f t="shared" si="11"/>
        <v>0</v>
      </c>
      <c r="T13" s="24">
        <f t="shared" si="12"/>
        <v>0</v>
      </c>
      <c r="U13" s="24">
        <f t="shared" si="13"/>
        <v>100</v>
      </c>
      <c r="V13" s="24">
        <f t="shared" si="14"/>
        <v>0</v>
      </c>
      <c r="W13" s="24">
        <f t="shared" si="15"/>
        <v>0</v>
      </c>
      <c r="X13" s="24">
        <f t="shared" si="16"/>
        <v>0</v>
      </c>
      <c r="Y13" s="24">
        <f t="shared" si="17"/>
        <v>0</v>
      </c>
      <c r="Z13" s="24">
        <f t="shared" si="18"/>
        <v>0</v>
      </c>
      <c r="AA13" s="24">
        <f t="shared" si="19"/>
        <v>0</v>
      </c>
      <c r="AB13" s="24">
        <f t="shared" si="20"/>
        <v>0</v>
      </c>
      <c r="AC13" s="24">
        <f t="shared" si="21"/>
        <v>0</v>
      </c>
      <c r="AD13" s="24">
        <f t="shared" si="22"/>
        <v>0</v>
      </c>
    </row>
    <row r="14" spans="1:30" ht="16.5" x14ac:dyDescent="0.2">
      <c r="C14" s="66" t="s">
        <v>52</v>
      </c>
      <c r="D14" s="59" t="s">
        <v>53</v>
      </c>
      <c r="E14" s="67">
        <v>0</v>
      </c>
      <c r="F14" s="67">
        <v>0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24" t="e">
        <f t="shared" si="11"/>
        <v>#DIV/0!</v>
      </c>
      <c r="T14" s="24" t="e">
        <f t="shared" si="12"/>
        <v>#DIV/0!</v>
      </c>
      <c r="U14" s="24" t="e">
        <f t="shared" si="13"/>
        <v>#DIV/0!</v>
      </c>
      <c r="V14" s="24" t="e">
        <f t="shared" si="14"/>
        <v>#DIV/0!</v>
      </c>
      <c r="W14" s="24" t="e">
        <f t="shared" si="15"/>
        <v>#DIV/0!</v>
      </c>
      <c r="X14" s="24" t="e">
        <f t="shared" si="16"/>
        <v>#DIV/0!</v>
      </c>
      <c r="Y14" s="24" t="e">
        <f t="shared" si="17"/>
        <v>#DIV/0!</v>
      </c>
      <c r="Z14" s="24" t="e">
        <f t="shared" si="18"/>
        <v>#DIV/0!</v>
      </c>
      <c r="AA14" s="24" t="e">
        <f t="shared" si="19"/>
        <v>#DIV/0!</v>
      </c>
      <c r="AB14" s="24" t="e">
        <f t="shared" si="20"/>
        <v>#DIV/0!</v>
      </c>
      <c r="AC14" s="24" t="e">
        <f t="shared" si="21"/>
        <v>#DIV/0!</v>
      </c>
      <c r="AD14" s="24" t="e">
        <f t="shared" si="22"/>
        <v>#DIV/0!</v>
      </c>
    </row>
    <row r="15" spans="1:30" ht="33" x14ac:dyDescent="0.2">
      <c r="C15" s="66" t="s">
        <v>54</v>
      </c>
      <c r="D15" s="63" t="s">
        <v>55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0</v>
      </c>
      <c r="P15" s="67">
        <v>0</v>
      </c>
      <c r="Q15" s="67">
        <v>0</v>
      </c>
      <c r="R15" s="67">
        <v>0</v>
      </c>
      <c r="S15" s="24" t="e">
        <f t="shared" si="11"/>
        <v>#DIV/0!</v>
      </c>
      <c r="T15" s="24" t="e">
        <f t="shared" si="12"/>
        <v>#DIV/0!</v>
      </c>
      <c r="U15" s="24" t="e">
        <f t="shared" si="13"/>
        <v>#DIV/0!</v>
      </c>
      <c r="V15" s="24" t="e">
        <f t="shared" si="14"/>
        <v>#DIV/0!</v>
      </c>
      <c r="W15" s="24" t="e">
        <f t="shared" si="15"/>
        <v>#DIV/0!</v>
      </c>
      <c r="X15" s="24" t="e">
        <f t="shared" si="16"/>
        <v>#DIV/0!</v>
      </c>
      <c r="Y15" s="24" t="e">
        <f t="shared" si="17"/>
        <v>#DIV/0!</v>
      </c>
      <c r="Z15" s="24" t="e">
        <f t="shared" si="18"/>
        <v>#DIV/0!</v>
      </c>
      <c r="AA15" s="24" t="e">
        <f t="shared" si="19"/>
        <v>#DIV/0!</v>
      </c>
      <c r="AB15" s="24" t="e">
        <f t="shared" si="20"/>
        <v>#DIV/0!</v>
      </c>
      <c r="AC15" s="24" t="e">
        <f t="shared" si="21"/>
        <v>#DIV/0!</v>
      </c>
      <c r="AD15" s="24" t="e">
        <f t="shared" si="22"/>
        <v>#DIV/0!</v>
      </c>
    </row>
    <row r="16" spans="1:30" ht="16.5" x14ac:dyDescent="0.2">
      <c r="C16" s="68" t="s">
        <v>56</v>
      </c>
      <c r="D16" s="59" t="s">
        <v>57</v>
      </c>
      <c r="E16" s="61">
        <v>9712501012</v>
      </c>
      <c r="F16" s="61">
        <v>9712501012</v>
      </c>
      <c r="G16" s="61">
        <v>334948575</v>
      </c>
      <c r="H16" s="61">
        <v>741906000</v>
      </c>
      <c r="I16" s="61">
        <v>1418212000</v>
      </c>
      <c r="J16" s="61">
        <v>712906000</v>
      </c>
      <c r="K16" s="61">
        <v>706906000</v>
      </c>
      <c r="L16" s="61">
        <v>1416512000</v>
      </c>
      <c r="M16" s="61">
        <v>717806000</v>
      </c>
      <c r="N16" s="61">
        <v>717556000</v>
      </c>
      <c r="O16" s="61">
        <v>717430000</v>
      </c>
      <c r="P16" s="61">
        <v>716805038</v>
      </c>
      <c r="Q16" s="61">
        <v>726906000</v>
      </c>
      <c r="R16" s="61">
        <v>784607399</v>
      </c>
      <c r="S16" s="24">
        <f t="shared" si="11"/>
        <v>3.4486336175014447</v>
      </c>
      <c r="T16" s="24">
        <f t="shared" si="12"/>
        <v>7.6386710187557201</v>
      </c>
      <c r="U16" s="24">
        <f t="shared" si="13"/>
        <v>14.601923832468785</v>
      </c>
      <c r="V16" s="24">
        <f t="shared" si="14"/>
        <v>7.3400867512825956</v>
      </c>
      <c r="W16" s="24">
        <f t="shared" si="15"/>
        <v>7.2783106959433281</v>
      </c>
      <c r="X16" s="24">
        <f t="shared" si="16"/>
        <v>14.584420616789325</v>
      </c>
      <c r="Y16" s="24">
        <f t="shared" si="17"/>
        <v>7.3905371964763305</v>
      </c>
      <c r="Z16" s="24">
        <f t="shared" si="18"/>
        <v>7.3879631941705268</v>
      </c>
      <c r="AA16" s="24">
        <f t="shared" si="19"/>
        <v>7.3866658970084025</v>
      </c>
      <c r="AB16" s="24">
        <f t="shared" si="20"/>
        <v>7.3802312824922458</v>
      </c>
      <c r="AC16" s="24">
        <f t="shared" si="21"/>
        <v>7.4842308804075524</v>
      </c>
      <c r="AD16" s="24">
        <f t="shared" si="22"/>
        <v>8.0783250167037419</v>
      </c>
    </row>
    <row r="17" spans="3:30" x14ac:dyDescent="0.2">
      <c r="C17" s="63" t="s">
        <v>58</v>
      </c>
      <c r="D17" s="63" t="s">
        <v>59</v>
      </c>
      <c r="E17" s="64">
        <v>9351477012</v>
      </c>
      <c r="F17" s="64">
        <v>9351477012</v>
      </c>
      <c r="G17" s="64">
        <v>334948575</v>
      </c>
      <c r="H17" s="64">
        <v>675906000</v>
      </c>
      <c r="I17" s="64">
        <v>1384012000</v>
      </c>
      <c r="J17" s="64">
        <v>679906000</v>
      </c>
      <c r="K17" s="64">
        <v>674906000</v>
      </c>
      <c r="L17" s="64">
        <v>1382512000</v>
      </c>
      <c r="M17" s="64">
        <v>685156000</v>
      </c>
      <c r="N17" s="64">
        <v>684906000</v>
      </c>
      <c r="O17" s="64">
        <v>684906000</v>
      </c>
      <c r="P17" s="64">
        <v>684805038</v>
      </c>
      <c r="Q17" s="64">
        <v>694906000</v>
      </c>
      <c r="R17" s="64">
        <v>784607399</v>
      </c>
      <c r="S17" s="24">
        <f t="shared" si="11"/>
        <v>3.5817718909022327</v>
      </c>
      <c r="T17" s="24">
        <f t="shared" si="12"/>
        <v>7.227799406795997</v>
      </c>
      <c r="U17" s="24">
        <f t="shared" si="13"/>
        <v>14.79992944669605</v>
      </c>
      <c r="V17" s="24">
        <f t="shared" si="14"/>
        <v>7.2705733984859409</v>
      </c>
      <c r="W17" s="24">
        <f t="shared" si="15"/>
        <v>7.2171059088735099</v>
      </c>
      <c r="X17" s="24">
        <f t="shared" si="16"/>
        <v>14.783889199812322</v>
      </c>
      <c r="Y17" s="24">
        <f t="shared" si="17"/>
        <v>7.3267142625789941</v>
      </c>
      <c r="Z17" s="24">
        <f t="shared" si="18"/>
        <v>7.3240408880983736</v>
      </c>
      <c r="AA17" s="24">
        <f t="shared" si="19"/>
        <v>7.3240408880983736</v>
      </c>
      <c r="AB17" s="24">
        <f t="shared" si="20"/>
        <v>7.3229612511611224</v>
      </c>
      <c r="AC17" s="24">
        <f t="shared" si="21"/>
        <v>7.4309758673232365</v>
      </c>
      <c r="AD17" s="24">
        <f t="shared" si="22"/>
        <v>8.3901975911738464</v>
      </c>
    </row>
    <row r="18" spans="3:30" x14ac:dyDescent="0.2">
      <c r="C18" s="77" t="s">
        <v>60</v>
      </c>
      <c r="D18" s="80" t="s">
        <v>61</v>
      </c>
      <c r="E18" s="83" t="s">
        <v>62</v>
      </c>
      <c r="F18" s="86" t="s">
        <v>63</v>
      </c>
      <c r="G18" s="51" t="s">
        <v>64</v>
      </c>
      <c r="H18" s="75"/>
      <c r="I18" s="75"/>
      <c r="J18" s="75"/>
      <c r="K18" s="75"/>
      <c r="L18" s="76"/>
      <c r="M18" s="51" t="s">
        <v>65</v>
      </c>
      <c r="N18" s="75"/>
      <c r="O18" s="75"/>
      <c r="P18" s="75"/>
      <c r="Q18" s="75"/>
      <c r="R18" s="76"/>
      <c r="S18" s="24" t="e">
        <f t="shared" si="11"/>
        <v>#VALUE!</v>
      </c>
      <c r="T18" s="24" t="e">
        <f t="shared" si="12"/>
        <v>#VALUE!</v>
      </c>
      <c r="U18" s="24" t="e">
        <f t="shared" si="13"/>
        <v>#VALUE!</v>
      </c>
      <c r="V18" s="24" t="e">
        <f t="shared" si="14"/>
        <v>#VALUE!</v>
      </c>
      <c r="W18" s="24" t="e">
        <f t="shared" si="15"/>
        <v>#VALUE!</v>
      </c>
      <c r="X18" s="24" t="e">
        <f t="shared" si="16"/>
        <v>#VALUE!</v>
      </c>
      <c r="Y18" s="24" t="e">
        <f t="shared" si="17"/>
        <v>#VALUE!</v>
      </c>
      <c r="Z18" s="24" t="e">
        <f t="shared" si="18"/>
        <v>#VALUE!</v>
      </c>
      <c r="AA18" s="24" t="e">
        <f t="shared" si="19"/>
        <v>#VALUE!</v>
      </c>
      <c r="AB18" s="24" t="e">
        <f t="shared" si="20"/>
        <v>#VALUE!</v>
      </c>
      <c r="AC18" s="24" t="e">
        <f t="shared" si="21"/>
        <v>#VALUE!</v>
      </c>
      <c r="AD18" s="24" t="e">
        <f t="shared" si="22"/>
        <v>#VALUE!</v>
      </c>
    </row>
    <row r="19" spans="3:30" x14ac:dyDescent="0.2">
      <c r="C19" s="78"/>
      <c r="D19" s="81"/>
      <c r="E19" s="84"/>
      <c r="F19" s="87"/>
      <c r="G19" s="51" t="s">
        <v>66</v>
      </c>
      <c r="H19" s="75"/>
      <c r="I19" s="76"/>
      <c r="J19" s="51" t="s">
        <v>67</v>
      </c>
      <c r="K19" s="75"/>
      <c r="L19" s="76"/>
      <c r="M19" s="51" t="s">
        <v>68</v>
      </c>
      <c r="N19" s="75"/>
      <c r="O19" s="76"/>
      <c r="P19" s="51" t="s">
        <v>69</v>
      </c>
      <c r="Q19" s="75"/>
      <c r="R19" s="76"/>
      <c r="S19" s="24" t="e">
        <f t="shared" si="11"/>
        <v>#VALUE!</v>
      </c>
      <c r="T19" s="24" t="e">
        <f t="shared" si="12"/>
        <v>#DIV/0!</v>
      </c>
      <c r="U19" s="24" t="e">
        <f t="shared" si="13"/>
        <v>#DIV/0!</v>
      </c>
      <c r="V19" s="24" t="e">
        <f t="shared" si="14"/>
        <v>#VALUE!</v>
      </c>
      <c r="W19" s="24" t="e">
        <f t="shared" si="15"/>
        <v>#DIV/0!</v>
      </c>
      <c r="X19" s="24" t="e">
        <f t="shared" si="16"/>
        <v>#DIV/0!</v>
      </c>
      <c r="Y19" s="24" t="e">
        <f t="shared" si="17"/>
        <v>#VALUE!</v>
      </c>
      <c r="Z19" s="24" t="e">
        <f t="shared" si="18"/>
        <v>#DIV/0!</v>
      </c>
      <c r="AA19" s="24" t="e">
        <f t="shared" si="19"/>
        <v>#DIV/0!</v>
      </c>
      <c r="AB19" s="24" t="e">
        <f t="shared" si="20"/>
        <v>#VALUE!</v>
      </c>
      <c r="AC19" s="24" t="e">
        <f t="shared" si="21"/>
        <v>#DIV/0!</v>
      </c>
      <c r="AD19" s="24" t="e">
        <f t="shared" si="22"/>
        <v>#DIV/0!</v>
      </c>
    </row>
    <row r="20" spans="3:30" x14ac:dyDescent="0.2">
      <c r="C20" s="79"/>
      <c r="D20" s="82"/>
      <c r="E20" s="85"/>
      <c r="F20" s="88"/>
      <c r="G20" s="52" t="s">
        <v>70</v>
      </c>
      <c r="H20" s="52" t="s">
        <v>71</v>
      </c>
      <c r="I20" s="53" t="s">
        <v>72</v>
      </c>
      <c r="J20" s="53" t="s">
        <v>73</v>
      </c>
      <c r="K20" s="53" t="s">
        <v>74</v>
      </c>
      <c r="L20" s="53" t="s">
        <v>75</v>
      </c>
      <c r="M20" s="53" t="s">
        <v>76</v>
      </c>
      <c r="N20" s="52" t="s">
        <v>77</v>
      </c>
      <c r="O20" s="52" t="s">
        <v>78</v>
      </c>
      <c r="P20" s="52" t="s">
        <v>79</v>
      </c>
      <c r="Q20" s="52" t="s">
        <v>80</v>
      </c>
      <c r="R20" s="52" t="s">
        <v>81</v>
      </c>
      <c r="S20" s="24" t="e">
        <f t="shared" si="11"/>
        <v>#VALUE!</v>
      </c>
      <c r="T20" s="24" t="e">
        <f t="shared" si="12"/>
        <v>#VALUE!</v>
      </c>
      <c r="U20" s="24" t="e">
        <f t="shared" si="13"/>
        <v>#VALUE!</v>
      </c>
      <c r="V20" s="24" t="e">
        <f t="shared" si="14"/>
        <v>#VALUE!</v>
      </c>
      <c r="W20" s="24" t="e">
        <f t="shared" si="15"/>
        <v>#VALUE!</v>
      </c>
      <c r="X20" s="24" t="e">
        <f t="shared" si="16"/>
        <v>#VALUE!</v>
      </c>
      <c r="Y20" s="24" t="e">
        <f t="shared" si="17"/>
        <v>#VALUE!</v>
      </c>
      <c r="Z20" s="24" t="e">
        <f t="shared" si="18"/>
        <v>#VALUE!</v>
      </c>
      <c r="AA20" s="24" t="e">
        <f t="shared" si="19"/>
        <v>#VALUE!</v>
      </c>
      <c r="AB20" s="24" t="e">
        <f t="shared" si="20"/>
        <v>#VALUE!</v>
      </c>
      <c r="AC20" s="24" t="e">
        <f t="shared" si="21"/>
        <v>#VALUE!</v>
      </c>
      <c r="AD20" s="24" t="e">
        <f t="shared" si="22"/>
        <v>#VALUE!</v>
      </c>
    </row>
    <row r="21" spans="3:30" ht="16.5" x14ac:dyDescent="0.2">
      <c r="C21" s="63" t="s">
        <v>82</v>
      </c>
      <c r="D21" s="63" t="s">
        <v>83</v>
      </c>
      <c r="E21" s="64">
        <v>358000000</v>
      </c>
      <c r="F21" s="64">
        <v>358000000</v>
      </c>
      <c r="G21" s="65">
        <v>0</v>
      </c>
      <c r="H21" s="64">
        <v>66000000</v>
      </c>
      <c r="I21" s="64">
        <v>33000000</v>
      </c>
      <c r="J21" s="64">
        <v>33000000</v>
      </c>
      <c r="K21" s="64">
        <v>32000000</v>
      </c>
      <c r="L21" s="64">
        <v>34000000</v>
      </c>
      <c r="M21" s="64">
        <v>32000000</v>
      </c>
      <c r="N21" s="64">
        <v>32000000</v>
      </c>
      <c r="O21" s="64">
        <v>32000000</v>
      </c>
      <c r="P21" s="64">
        <v>32000000</v>
      </c>
      <c r="Q21" s="64">
        <v>32000000</v>
      </c>
      <c r="R21" s="65">
        <v>0</v>
      </c>
      <c r="S21" s="24">
        <f t="shared" si="11"/>
        <v>0</v>
      </c>
      <c r="T21" s="24">
        <f t="shared" si="12"/>
        <v>18.435754189944134</v>
      </c>
      <c r="U21" s="24">
        <f t="shared" si="13"/>
        <v>9.2178770949720672</v>
      </c>
      <c r="V21" s="24">
        <f t="shared" si="14"/>
        <v>9.2178770949720672</v>
      </c>
      <c r="W21" s="24">
        <f t="shared" si="15"/>
        <v>8.938547486033519</v>
      </c>
      <c r="X21" s="24">
        <f t="shared" si="16"/>
        <v>9.4972067039106136</v>
      </c>
      <c r="Y21" s="24">
        <f t="shared" si="17"/>
        <v>8.938547486033519</v>
      </c>
      <c r="Z21" s="24">
        <f t="shared" si="18"/>
        <v>8.938547486033519</v>
      </c>
      <c r="AA21" s="24">
        <f t="shared" si="19"/>
        <v>8.938547486033519</v>
      </c>
      <c r="AB21" s="24">
        <f t="shared" si="20"/>
        <v>8.938547486033519</v>
      </c>
      <c r="AC21" s="24">
        <f t="shared" si="21"/>
        <v>8.938547486033519</v>
      </c>
      <c r="AD21" s="24">
        <f t="shared" si="22"/>
        <v>0</v>
      </c>
    </row>
    <row r="22" spans="3:30" ht="16.5" x14ac:dyDescent="0.2">
      <c r="C22" s="63" t="s">
        <v>84</v>
      </c>
      <c r="D22" s="59" t="s">
        <v>85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24" t="e">
        <f t="shared" si="11"/>
        <v>#DIV/0!</v>
      </c>
      <c r="T22" s="24" t="e">
        <f t="shared" si="12"/>
        <v>#DIV/0!</v>
      </c>
      <c r="U22" s="24" t="e">
        <f t="shared" si="13"/>
        <v>#DIV/0!</v>
      </c>
      <c r="V22" s="24" t="e">
        <f t="shared" si="14"/>
        <v>#DIV/0!</v>
      </c>
      <c r="W22" s="24" t="e">
        <f t="shared" si="15"/>
        <v>#DIV/0!</v>
      </c>
      <c r="X22" s="24" t="e">
        <f t="shared" si="16"/>
        <v>#DIV/0!</v>
      </c>
      <c r="Y22" s="24" t="e">
        <f t="shared" si="17"/>
        <v>#DIV/0!</v>
      </c>
      <c r="Z22" s="24" t="e">
        <f t="shared" si="18"/>
        <v>#DIV/0!</v>
      </c>
      <c r="AA22" s="24" t="e">
        <f t="shared" si="19"/>
        <v>#DIV/0!</v>
      </c>
      <c r="AB22" s="24" t="e">
        <f t="shared" si="20"/>
        <v>#DIV/0!</v>
      </c>
      <c r="AC22" s="24" t="e">
        <f t="shared" si="21"/>
        <v>#DIV/0!</v>
      </c>
      <c r="AD22" s="24" t="e">
        <f t="shared" si="22"/>
        <v>#DIV/0!</v>
      </c>
    </row>
    <row r="23" spans="3:30" ht="24.75" x14ac:dyDescent="0.2">
      <c r="C23" s="63" t="s">
        <v>86</v>
      </c>
      <c r="D23" s="59" t="s">
        <v>87</v>
      </c>
      <c r="E23" s="64">
        <v>3024000</v>
      </c>
      <c r="F23" s="64">
        <v>3024000</v>
      </c>
      <c r="G23" s="65">
        <v>0</v>
      </c>
      <c r="H23" s="65">
        <v>0</v>
      </c>
      <c r="I23" s="64">
        <v>1200000</v>
      </c>
      <c r="J23" s="65">
        <v>0</v>
      </c>
      <c r="K23" s="65">
        <v>0</v>
      </c>
      <c r="L23" s="65">
        <v>0</v>
      </c>
      <c r="M23" s="64">
        <v>650000</v>
      </c>
      <c r="N23" s="64">
        <v>650000</v>
      </c>
      <c r="O23" s="64">
        <v>524000</v>
      </c>
      <c r="P23" s="65">
        <v>0</v>
      </c>
      <c r="Q23" s="65">
        <v>0</v>
      </c>
      <c r="R23" s="65">
        <v>0</v>
      </c>
      <c r="S23" s="24">
        <f t="shared" si="11"/>
        <v>0</v>
      </c>
      <c r="T23" s="24">
        <f t="shared" si="12"/>
        <v>0</v>
      </c>
      <c r="U23" s="24">
        <f t="shared" si="13"/>
        <v>39.682539682539684</v>
      </c>
      <c r="V23" s="24">
        <f t="shared" si="14"/>
        <v>0</v>
      </c>
      <c r="W23" s="24">
        <f t="shared" si="15"/>
        <v>0</v>
      </c>
      <c r="X23" s="24">
        <f t="shared" si="16"/>
        <v>0</v>
      </c>
      <c r="Y23" s="24">
        <f t="shared" si="17"/>
        <v>21.494708994708994</v>
      </c>
      <c r="Z23" s="24">
        <f t="shared" si="18"/>
        <v>21.494708994708994</v>
      </c>
      <c r="AA23" s="24">
        <f t="shared" si="19"/>
        <v>17.328042328042329</v>
      </c>
      <c r="AB23" s="24">
        <f t="shared" si="20"/>
        <v>0</v>
      </c>
      <c r="AC23" s="24">
        <f t="shared" si="21"/>
        <v>0</v>
      </c>
      <c r="AD23" s="24">
        <f t="shared" si="22"/>
        <v>0</v>
      </c>
    </row>
    <row r="24" spans="3:30" ht="24.75" x14ac:dyDescent="0.2">
      <c r="C24" s="56" t="s">
        <v>88</v>
      </c>
      <c r="D24" s="59" t="s">
        <v>89</v>
      </c>
      <c r="E24" s="57">
        <v>35540000</v>
      </c>
      <c r="F24" s="57">
        <v>35540000</v>
      </c>
      <c r="G24" s="62">
        <v>0</v>
      </c>
      <c r="H24" s="57">
        <v>110000</v>
      </c>
      <c r="I24" s="57">
        <v>8000000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57">
        <v>27430000</v>
      </c>
      <c r="P24" s="62">
        <v>0</v>
      </c>
      <c r="Q24" s="62">
        <v>0</v>
      </c>
      <c r="R24" s="62">
        <v>0</v>
      </c>
      <c r="S24" s="24">
        <f t="shared" si="11"/>
        <v>0</v>
      </c>
      <c r="T24" s="24">
        <f t="shared" si="12"/>
        <v>0.30951041080472708</v>
      </c>
      <c r="U24" s="24">
        <f t="shared" si="13"/>
        <v>22.509848058525606</v>
      </c>
      <c r="V24" s="24">
        <f t="shared" si="14"/>
        <v>0</v>
      </c>
      <c r="W24" s="24">
        <f t="shared" si="15"/>
        <v>0</v>
      </c>
      <c r="X24" s="24">
        <f t="shared" si="16"/>
        <v>0</v>
      </c>
      <c r="Y24" s="24">
        <f t="shared" si="17"/>
        <v>0</v>
      </c>
      <c r="Z24" s="24">
        <f t="shared" si="18"/>
        <v>0</v>
      </c>
      <c r="AA24" s="24">
        <f t="shared" si="19"/>
        <v>77.180641530669675</v>
      </c>
      <c r="AB24" s="24">
        <f t="shared" si="20"/>
        <v>0</v>
      </c>
      <c r="AC24" s="24">
        <f t="shared" si="21"/>
        <v>0</v>
      </c>
      <c r="AD24" s="24">
        <f t="shared" si="22"/>
        <v>0</v>
      </c>
    </row>
    <row r="25" spans="3:30" x14ac:dyDescent="0.2">
      <c r="C25" s="63" t="s">
        <v>90</v>
      </c>
      <c r="D25" s="63" t="s">
        <v>91</v>
      </c>
      <c r="E25" s="64">
        <v>35430000</v>
      </c>
      <c r="F25" s="64">
        <v>35430000</v>
      </c>
      <c r="G25" s="65">
        <v>0</v>
      </c>
      <c r="H25" s="65">
        <v>0</v>
      </c>
      <c r="I25" s="64">
        <v>8000000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4">
        <v>27430000</v>
      </c>
      <c r="P25" s="65">
        <v>0</v>
      </c>
      <c r="Q25" s="65">
        <v>0</v>
      </c>
      <c r="R25" s="65">
        <v>0</v>
      </c>
      <c r="S25" s="24">
        <f t="shared" si="11"/>
        <v>0</v>
      </c>
      <c r="T25" s="24">
        <f t="shared" si="12"/>
        <v>0</v>
      </c>
      <c r="U25" s="24">
        <f t="shared" si="13"/>
        <v>22.579734688117416</v>
      </c>
      <c r="V25" s="24">
        <f t="shared" si="14"/>
        <v>0</v>
      </c>
      <c r="W25" s="24">
        <f t="shared" si="15"/>
        <v>0</v>
      </c>
      <c r="X25" s="24">
        <f t="shared" si="16"/>
        <v>0</v>
      </c>
      <c r="Y25" s="24">
        <f t="shared" si="17"/>
        <v>0</v>
      </c>
      <c r="Z25" s="24">
        <f t="shared" si="18"/>
        <v>0</v>
      </c>
      <c r="AA25" s="24">
        <f t="shared" si="19"/>
        <v>77.420265311882588</v>
      </c>
      <c r="AB25" s="24">
        <f t="shared" si="20"/>
        <v>0</v>
      </c>
      <c r="AC25" s="24">
        <f t="shared" si="21"/>
        <v>0</v>
      </c>
      <c r="AD25" s="24">
        <f t="shared" si="22"/>
        <v>0</v>
      </c>
    </row>
    <row r="26" spans="3:30" ht="24.75" x14ac:dyDescent="0.2">
      <c r="C26" s="66" t="s">
        <v>92</v>
      </c>
      <c r="D26" s="63" t="s">
        <v>93</v>
      </c>
      <c r="E26" s="69">
        <v>110000</v>
      </c>
      <c r="F26" s="69">
        <v>110000</v>
      </c>
      <c r="G26" s="67">
        <v>0</v>
      </c>
      <c r="H26" s="69">
        <v>110000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  <c r="P26" s="67">
        <v>0</v>
      </c>
      <c r="Q26" s="67">
        <v>0</v>
      </c>
      <c r="R26" s="67">
        <v>0</v>
      </c>
      <c r="S26" s="24">
        <f t="shared" si="11"/>
        <v>0</v>
      </c>
      <c r="T26" s="24">
        <f t="shared" si="12"/>
        <v>100</v>
      </c>
      <c r="U26" s="24">
        <f t="shared" si="13"/>
        <v>0</v>
      </c>
      <c r="V26" s="24">
        <f t="shared" si="14"/>
        <v>0</v>
      </c>
      <c r="W26" s="24">
        <f t="shared" si="15"/>
        <v>0</v>
      </c>
      <c r="X26" s="24">
        <f t="shared" si="16"/>
        <v>0</v>
      </c>
      <c r="Y26" s="24">
        <f t="shared" si="17"/>
        <v>0</v>
      </c>
      <c r="Z26" s="24">
        <f t="shared" si="18"/>
        <v>0</v>
      </c>
      <c r="AA26" s="24">
        <f t="shared" si="19"/>
        <v>0</v>
      </c>
      <c r="AB26" s="24">
        <f t="shared" si="20"/>
        <v>0</v>
      </c>
      <c r="AC26" s="24">
        <f t="shared" si="21"/>
        <v>0</v>
      </c>
      <c r="AD26" s="24">
        <f t="shared" si="22"/>
        <v>0</v>
      </c>
    </row>
    <row r="27" spans="3:30" ht="16.5" x14ac:dyDescent="0.2">
      <c r="C27" s="66" t="s">
        <v>94</v>
      </c>
      <c r="D27" s="59" t="s">
        <v>95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7">
        <v>0</v>
      </c>
      <c r="O27" s="67">
        <v>0</v>
      </c>
      <c r="P27" s="67">
        <v>0</v>
      </c>
      <c r="Q27" s="67">
        <v>0</v>
      </c>
      <c r="R27" s="67">
        <v>0</v>
      </c>
      <c r="S27" s="24" t="e">
        <f t="shared" si="11"/>
        <v>#DIV/0!</v>
      </c>
      <c r="T27" s="24" t="e">
        <f t="shared" si="12"/>
        <v>#DIV/0!</v>
      </c>
      <c r="U27" s="24" t="e">
        <f t="shared" si="13"/>
        <v>#DIV/0!</v>
      </c>
      <c r="V27" s="24" t="e">
        <f t="shared" si="14"/>
        <v>#DIV/0!</v>
      </c>
      <c r="W27" s="24" t="e">
        <f t="shared" si="15"/>
        <v>#DIV/0!</v>
      </c>
      <c r="X27" s="24" t="e">
        <f t="shared" si="16"/>
        <v>#DIV/0!</v>
      </c>
      <c r="Y27" s="24" t="e">
        <f t="shared" si="17"/>
        <v>#DIV/0!</v>
      </c>
      <c r="Z27" s="24" t="e">
        <f t="shared" si="18"/>
        <v>#DIV/0!</v>
      </c>
      <c r="AA27" s="24" t="e">
        <f t="shared" si="19"/>
        <v>#DIV/0!</v>
      </c>
      <c r="AB27" s="24" t="e">
        <f t="shared" si="20"/>
        <v>#DIV/0!</v>
      </c>
      <c r="AC27" s="24" t="e">
        <f t="shared" si="21"/>
        <v>#DIV/0!</v>
      </c>
      <c r="AD27" s="24" t="e">
        <f t="shared" si="22"/>
        <v>#DIV/0!</v>
      </c>
    </row>
    <row r="28" spans="3:30" ht="16.5" x14ac:dyDescent="0.2">
      <c r="C28" s="56" t="s">
        <v>96</v>
      </c>
      <c r="D28" s="56" t="s">
        <v>97</v>
      </c>
      <c r="E28" s="57">
        <v>7720000</v>
      </c>
      <c r="F28" s="57">
        <v>7720000</v>
      </c>
      <c r="G28" s="62">
        <v>0</v>
      </c>
      <c r="H28" s="57">
        <v>2720000</v>
      </c>
      <c r="I28" s="62">
        <v>0</v>
      </c>
      <c r="J28" s="57">
        <v>2500000</v>
      </c>
      <c r="K28" s="62">
        <v>0</v>
      </c>
      <c r="L28" s="62">
        <v>0</v>
      </c>
      <c r="M28" s="57">
        <v>2500000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24">
        <f t="shared" si="11"/>
        <v>0</v>
      </c>
      <c r="T28" s="24">
        <f t="shared" si="12"/>
        <v>35.233160621761655</v>
      </c>
      <c r="U28" s="24">
        <f t="shared" si="13"/>
        <v>0</v>
      </c>
      <c r="V28" s="24">
        <f t="shared" si="14"/>
        <v>32.383419689119172</v>
      </c>
      <c r="W28" s="24">
        <f t="shared" si="15"/>
        <v>0</v>
      </c>
      <c r="X28" s="24">
        <f t="shared" si="16"/>
        <v>0</v>
      </c>
      <c r="Y28" s="24">
        <f t="shared" si="17"/>
        <v>32.383419689119172</v>
      </c>
      <c r="Z28" s="24">
        <f t="shared" si="18"/>
        <v>0</v>
      </c>
      <c r="AA28" s="24">
        <f t="shared" si="19"/>
        <v>0</v>
      </c>
      <c r="AB28" s="24">
        <f t="shared" si="20"/>
        <v>0</v>
      </c>
      <c r="AC28" s="24">
        <f t="shared" si="21"/>
        <v>0</v>
      </c>
      <c r="AD28" s="24">
        <f t="shared" si="22"/>
        <v>0</v>
      </c>
    </row>
    <row r="29" spans="3:30" ht="16.5" x14ac:dyDescent="0.2">
      <c r="C29" s="63" t="s">
        <v>98</v>
      </c>
      <c r="D29" s="59" t="s">
        <v>99</v>
      </c>
      <c r="E29" s="64">
        <v>110000</v>
      </c>
      <c r="F29" s="64">
        <v>110000</v>
      </c>
      <c r="G29" s="65">
        <v>0</v>
      </c>
      <c r="H29" s="64">
        <v>110000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24">
        <f t="shared" si="11"/>
        <v>0</v>
      </c>
      <c r="T29" s="24">
        <f t="shared" si="12"/>
        <v>100</v>
      </c>
      <c r="U29" s="24">
        <f t="shared" si="13"/>
        <v>0</v>
      </c>
      <c r="V29" s="24">
        <f t="shared" si="14"/>
        <v>0</v>
      </c>
      <c r="W29" s="24">
        <f t="shared" si="15"/>
        <v>0</v>
      </c>
      <c r="X29" s="24">
        <f t="shared" si="16"/>
        <v>0</v>
      </c>
      <c r="Y29" s="24">
        <f t="shared" si="17"/>
        <v>0</v>
      </c>
      <c r="Z29" s="24">
        <f t="shared" si="18"/>
        <v>0</v>
      </c>
      <c r="AA29" s="24">
        <f t="shared" si="19"/>
        <v>0</v>
      </c>
      <c r="AB29" s="24">
        <f t="shared" si="20"/>
        <v>0</v>
      </c>
      <c r="AC29" s="24">
        <f t="shared" si="21"/>
        <v>0</v>
      </c>
      <c r="AD29" s="24">
        <f t="shared" si="22"/>
        <v>0</v>
      </c>
    </row>
    <row r="30" spans="3:30" x14ac:dyDescent="0.2">
      <c r="C30" s="63" t="s">
        <v>100</v>
      </c>
      <c r="D30" s="63" t="s">
        <v>101</v>
      </c>
      <c r="E30" s="64">
        <v>7500000</v>
      </c>
      <c r="F30" s="64">
        <v>7500000</v>
      </c>
      <c r="G30" s="65">
        <v>0</v>
      </c>
      <c r="H30" s="64">
        <v>2500000</v>
      </c>
      <c r="I30" s="65">
        <v>0</v>
      </c>
      <c r="J30" s="64">
        <v>2500000</v>
      </c>
      <c r="K30" s="65">
        <v>0</v>
      </c>
      <c r="L30" s="65">
        <v>0</v>
      </c>
      <c r="M30" s="64">
        <v>2500000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24">
        <f t="shared" si="11"/>
        <v>0</v>
      </c>
      <c r="T30" s="24">
        <f t="shared" si="12"/>
        <v>33.333333333333329</v>
      </c>
      <c r="U30" s="24">
        <f t="shared" si="13"/>
        <v>0</v>
      </c>
      <c r="V30" s="24">
        <f t="shared" si="14"/>
        <v>33.333333333333329</v>
      </c>
      <c r="W30" s="24">
        <f t="shared" si="15"/>
        <v>0</v>
      </c>
      <c r="X30" s="24">
        <f t="shared" si="16"/>
        <v>0</v>
      </c>
      <c r="Y30" s="24">
        <f t="shared" si="17"/>
        <v>33.333333333333329</v>
      </c>
      <c r="Z30" s="24">
        <f t="shared" si="18"/>
        <v>0</v>
      </c>
      <c r="AA30" s="24">
        <f t="shared" si="19"/>
        <v>0</v>
      </c>
      <c r="AB30" s="24">
        <f t="shared" si="20"/>
        <v>0</v>
      </c>
      <c r="AC30" s="24">
        <f t="shared" si="21"/>
        <v>0</v>
      </c>
      <c r="AD30" s="24">
        <f t="shared" si="22"/>
        <v>0</v>
      </c>
    </row>
    <row r="31" spans="3:30" x14ac:dyDescent="0.2">
      <c r="C31" s="63" t="s">
        <v>102</v>
      </c>
      <c r="D31" s="63" t="s">
        <v>103</v>
      </c>
      <c r="E31" s="64">
        <v>110000</v>
      </c>
      <c r="F31" s="64">
        <v>110000</v>
      </c>
      <c r="G31" s="65">
        <v>0</v>
      </c>
      <c r="H31" s="64">
        <v>110000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24">
        <f t="shared" si="11"/>
        <v>0</v>
      </c>
      <c r="T31" s="24">
        <f t="shared" si="12"/>
        <v>100</v>
      </c>
      <c r="U31" s="24">
        <f t="shared" si="13"/>
        <v>0</v>
      </c>
      <c r="V31" s="24">
        <f t="shared" si="14"/>
        <v>0</v>
      </c>
      <c r="W31" s="24">
        <f t="shared" si="15"/>
        <v>0</v>
      </c>
      <c r="X31" s="24">
        <f t="shared" si="16"/>
        <v>0</v>
      </c>
      <c r="Y31" s="24">
        <f t="shared" si="17"/>
        <v>0</v>
      </c>
      <c r="Z31" s="24">
        <f t="shared" si="18"/>
        <v>0</v>
      </c>
      <c r="AA31" s="24">
        <f t="shared" si="19"/>
        <v>0</v>
      </c>
      <c r="AB31" s="24">
        <f t="shared" si="20"/>
        <v>0</v>
      </c>
      <c r="AC31" s="24">
        <f t="shared" si="21"/>
        <v>0</v>
      </c>
      <c r="AD31" s="24">
        <f t="shared" si="22"/>
        <v>0</v>
      </c>
    </row>
    <row r="32" spans="3:30" ht="24.75" x14ac:dyDescent="0.2">
      <c r="C32" s="56" t="s">
        <v>104</v>
      </c>
      <c r="D32" s="59" t="s">
        <v>105</v>
      </c>
      <c r="E32" s="57">
        <v>100000</v>
      </c>
      <c r="F32" s="57">
        <v>100000</v>
      </c>
      <c r="G32" s="62">
        <v>0</v>
      </c>
      <c r="H32" s="57">
        <v>100000</v>
      </c>
      <c r="I32" s="62">
        <v>0</v>
      </c>
      <c r="J32" s="62">
        <v>0</v>
      </c>
      <c r="K32" s="62">
        <v>0</v>
      </c>
      <c r="L32" s="62">
        <v>0</v>
      </c>
      <c r="M32" s="62">
        <v>0</v>
      </c>
      <c r="N32" s="62">
        <v>0</v>
      </c>
      <c r="O32" s="62">
        <v>0</v>
      </c>
      <c r="P32" s="62">
        <v>0</v>
      </c>
      <c r="Q32" s="62">
        <v>0</v>
      </c>
      <c r="R32" s="62">
        <v>0</v>
      </c>
      <c r="S32" s="24">
        <f t="shared" si="11"/>
        <v>0</v>
      </c>
      <c r="T32" s="24">
        <f t="shared" si="12"/>
        <v>100</v>
      </c>
      <c r="U32" s="24">
        <f t="shared" si="13"/>
        <v>0</v>
      </c>
      <c r="V32" s="24">
        <f t="shared" si="14"/>
        <v>0</v>
      </c>
      <c r="W32" s="24">
        <f t="shared" si="15"/>
        <v>0</v>
      </c>
      <c r="X32" s="24">
        <f t="shared" si="16"/>
        <v>0</v>
      </c>
      <c r="Y32" s="24">
        <f t="shared" si="17"/>
        <v>0</v>
      </c>
      <c r="Z32" s="24">
        <f t="shared" si="18"/>
        <v>0</v>
      </c>
      <c r="AA32" s="24">
        <f t="shared" si="19"/>
        <v>0</v>
      </c>
      <c r="AB32" s="24">
        <f t="shared" si="20"/>
        <v>0</v>
      </c>
      <c r="AC32" s="24">
        <f t="shared" si="21"/>
        <v>0</v>
      </c>
      <c r="AD32" s="24">
        <f t="shared" si="22"/>
        <v>0</v>
      </c>
    </row>
    <row r="33" spans="3:30" ht="16.5" x14ac:dyDescent="0.2">
      <c r="C33" s="66" t="s">
        <v>106</v>
      </c>
      <c r="D33" s="59" t="s">
        <v>107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7">
        <v>0</v>
      </c>
      <c r="O33" s="67">
        <v>0</v>
      </c>
      <c r="P33" s="67">
        <v>0</v>
      </c>
      <c r="Q33" s="67">
        <v>0</v>
      </c>
      <c r="R33" s="67">
        <v>0</v>
      </c>
      <c r="S33" s="24" t="e">
        <f t="shared" si="11"/>
        <v>#DIV/0!</v>
      </c>
      <c r="T33" s="24" t="e">
        <f t="shared" si="12"/>
        <v>#DIV/0!</v>
      </c>
      <c r="U33" s="24" t="e">
        <f t="shared" si="13"/>
        <v>#DIV/0!</v>
      </c>
      <c r="V33" s="24" t="e">
        <f t="shared" si="14"/>
        <v>#DIV/0!</v>
      </c>
      <c r="W33" s="24" t="e">
        <f t="shared" si="15"/>
        <v>#DIV/0!</v>
      </c>
      <c r="X33" s="24" t="e">
        <f t="shared" si="16"/>
        <v>#DIV/0!</v>
      </c>
      <c r="Y33" s="24" t="e">
        <f t="shared" si="17"/>
        <v>#DIV/0!</v>
      </c>
      <c r="Z33" s="24" t="e">
        <f t="shared" si="18"/>
        <v>#DIV/0!</v>
      </c>
      <c r="AA33" s="24" t="e">
        <f t="shared" si="19"/>
        <v>#DIV/0!</v>
      </c>
      <c r="AB33" s="24" t="e">
        <f t="shared" si="20"/>
        <v>#DIV/0!</v>
      </c>
      <c r="AC33" s="24" t="e">
        <f t="shared" si="21"/>
        <v>#DIV/0!</v>
      </c>
      <c r="AD33" s="24" t="e">
        <f t="shared" si="22"/>
        <v>#DIV/0!</v>
      </c>
    </row>
    <row r="34" spans="3:30" ht="16.5" x14ac:dyDescent="0.2">
      <c r="C34" s="63" t="s">
        <v>108</v>
      </c>
      <c r="D34" s="63" t="s">
        <v>109</v>
      </c>
      <c r="E34" s="64">
        <v>100000</v>
      </c>
      <c r="F34" s="64">
        <v>100000</v>
      </c>
      <c r="G34" s="65">
        <v>0</v>
      </c>
      <c r="H34" s="64">
        <v>100000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24">
        <f t="shared" si="11"/>
        <v>0</v>
      </c>
      <c r="T34" s="24">
        <f t="shared" si="12"/>
        <v>100</v>
      </c>
      <c r="U34" s="24">
        <f t="shared" si="13"/>
        <v>0</v>
      </c>
      <c r="V34" s="24">
        <f t="shared" si="14"/>
        <v>0</v>
      </c>
      <c r="W34" s="24">
        <f t="shared" si="15"/>
        <v>0</v>
      </c>
      <c r="X34" s="24">
        <f t="shared" si="16"/>
        <v>0</v>
      </c>
      <c r="Y34" s="24">
        <f t="shared" si="17"/>
        <v>0</v>
      </c>
      <c r="Z34" s="24">
        <f t="shared" si="18"/>
        <v>0</v>
      </c>
      <c r="AA34" s="24">
        <f t="shared" si="19"/>
        <v>0</v>
      </c>
      <c r="AB34" s="24">
        <f t="shared" si="20"/>
        <v>0</v>
      </c>
      <c r="AC34" s="24">
        <f t="shared" si="21"/>
        <v>0</v>
      </c>
      <c r="AD34" s="24">
        <f t="shared" si="22"/>
        <v>0</v>
      </c>
    </row>
    <row r="35" spans="3:30" ht="16.5" x14ac:dyDescent="0.2">
      <c r="C35" s="56" t="s">
        <v>110</v>
      </c>
      <c r="D35" s="56" t="s">
        <v>111</v>
      </c>
      <c r="E35" s="57">
        <v>1613204994</v>
      </c>
      <c r="F35" s="57">
        <v>1613204994</v>
      </c>
      <c r="G35" s="62">
        <v>0</v>
      </c>
      <c r="H35" s="57">
        <v>133107000</v>
      </c>
      <c r="I35" s="57">
        <v>117877700</v>
      </c>
      <c r="J35" s="57">
        <v>347711125</v>
      </c>
      <c r="K35" s="57">
        <v>90458725</v>
      </c>
      <c r="L35" s="57">
        <v>244178250</v>
      </c>
      <c r="M35" s="57">
        <v>279697180</v>
      </c>
      <c r="N35" s="57">
        <v>165237939</v>
      </c>
      <c r="O35" s="57">
        <v>195901500</v>
      </c>
      <c r="P35" s="57">
        <v>35107575</v>
      </c>
      <c r="Q35" s="57">
        <v>3928000</v>
      </c>
      <c r="R35" s="62">
        <v>0</v>
      </c>
      <c r="S35" s="24">
        <f t="shared" si="11"/>
        <v>0</v>
      </c>
      <c r="T35" s="24">
        <f t="shared" si="12"/>
        <v>8.2510902517079607</v>
      </c>
      <c r="U35" s="24">
        <f t="shared" si="13"/>
        <v>7.3070502780751987</v>
      </c>
      <c r="V35" s="24">
        <f t="shared" si="14"/>
        <v>21.554057066104022</v>
      </c>
      <c r="W35" s="24">
        <f t="shared" si="15"/>
        <v>5.6073918278485069</v>
      </c>
      <c r="X35" s="24">
        <f t="shared" si="16"/>
        <v>15.136219569625259</v>
      </c>
      <c r="Y35" s="24">
        <f t="shared" si="17"/>
        <v>17.337981288198268</v>
      </c>
      <c r="Z35" s="24">
        <f t="shared" si="18"/>
        <v>10.242835821521142</v>
      </c>
      <c r="AA35" s="24">
        <f t="shared" si="19"/>
        <v>12.143620973690092</v>
      </c>
      <c r="AB35" s="24">
        <f t="shared" si="20"/>
        <v>2.1762624793858034</v>
      </c>
      <c r="AC35" s="24">
        <f t="shared" si="21"/>
        <v>0.2434904438437413</v>
      </c>
      <c r="AD35" s="24">
        <f t="shared" si="22"/>
        <v>0</v>
      </c>
    </row>
    <row r="36" spans="3:30" ht="16.5" x14ac:dyDescent="0.2">
      <c r="C36" s="66" t="s">
        <v>112</v>
      </c>
      <c r="D36" s="59" t="s">
        <v>113</v>
      </c>
      <c r="E36" s="69">
        <v>36854000</v>
      </c>
      <c r="F36" s="69">
        <v>36854000</v>
      </c>
      <c r="G36" s="67">
        <v>0</v>
      </c>
      <c r="H36" s="69">
        <v>10000000</v>
      </c>
      <c r="I36" s="67">
        <v>0</v>
      </c>
      <c r="J36" s="69">
        <v>10000000</v>
      </c>
      <c r="K36" s="67">
        <v>0</v>
      </c>
      <c r="L36" s="67">
        <v>0</v>
      </c>
      <c r="M36" s="69">
        <v>10000000</v>
      </c>
      <c r="N36" s="67">
        <v>0</v>
      </c>
      <c r="O36" s="67">
        <v>0</v>
      </c>
      <c r="P36" s="69">
        <v>6854000</v>
      </c>
      <c r="Q36" s="67">
        <v>0</v>
      </c>
      <c r="R36" s="67">
        <v>0</v>
      </c>
      <c r="S36" s="24">
        <f t="shared" si="11"/>
        <v>0</v>
      </c>
      <c r="T36" s="24">
        <f t="shared" si="12"/>
        <v>27.134096705920658</v>
      </c>
      <c r="U36" s="24">
        <f t="shared" si="13"/>
        <v>0</v>
      </c>
      <c r="V36" s="24">
        <f t="shared" si="14"/>
        <v>27.134096705920658</v>
      </c>
      <c r="W36" s="24">
        <f t="shared" si="15"/>
        <v>0</v>
      </c>
      <c r="X36" s="24">
        <f t="shared" si="16"/>
        <v>0</v>
      </c>
      <c r="Y36" s="24">
        <f t="shared" si="17"/>
        <v>27.134096705920658</v>
      </c>
      <c r="Z36" s="24">
        <f t="shared" si="18"/>
        <v>0</v>
      </c>
      <c r="AA36" s="24">
        <f t="shared" si="19"/>
        <v>0</v>
      </c>
      <c r="AB36" s="24">
        <f t="shared" si="20"/>
        <v>18.597709882238021</v>
      </c>
      <c r="AC36" s="24">
        <f t="shared" si="21"/>
        <v>0</v>
      </c>
      <c r="AD36" s="24">
        <f t="shared" si="22"/>
        <v>0</v>
      </c>
    </row>
    <row r="37" spans="3:30" ht="16.5" x14ac:dyDescent="0.2">
      <c r="C37" s="63" t="s">
        <v>114</v>
      </c>
      <c r="D37" s="63" t="s">
        <v>115</v>
      </c>
      <c r="E37" s="64">
        <v>100000</v>
      </c>
      <c r="F37" s="64">
        <v>100000</v>
      </c>
      <c r="G37" s="65">
        <v>0</v>
      </c>
      <c r="H37" s="65">
        <v>0</v>
      </c>
      <c r="I37" s="64">
        <v>100000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24">
        <f t="shared" si="11"/>
        <v>0</v>
      </c>
      <c r="T37" s="24">
        <f t="shared" si="12"/>
        <v>0</v>
      </c>
      <c r="U37" s="24">
        <f t="shared" si="13"/>
        <v>100</v>
      </c>
      <c r="V37" s="24">
        <f t="shared" si="14"/>
        <v>0</v>
      </c>
      <c r="W37" s="24">
        <f t="shared" si="15"/>
        <v>0</v>
      </c>
      <c r="X37" s="24">
        <f t="shared" si="16"/>
        <v>0</v>
      </c>
      <c r="Y37" s="24">
        <f t="shared" si="17"/>
        <v>0</v>
      </c>
      <c r="Z37" s="24">
        <f t="shared" si="18"/>
        <v>0</v>
      </c>
      <c r="AA37" s="24">
        <f t="shared" si="19"/>
        <v>0</v>
      </c>
      <c r="AB37" s="24">
        <f t="shared" si="20"/>
        <v>0</v>
      </c>
      <c r="AC37" s="24">
        <f t="shared" si="21"/>
        <v>0</v>
      </c>
      <c r="AD37" s="24">
        <f t="shared" si="22"/>
        <v>0</v>
      </c>
    </row>
    <row r="38" spans="3:30" x14ac:dyDescent="0.2">
      <c r="C38" s="63" t="s">
        <v>116</v>
      </c>
      <c r="D38" s="63" t="s">
        <v>117</v>
      </c>
      <c r="E38" s="64">
        <v>100000</v>
      </c>
      <c r="F38" s="64">
        <v>100000</v>
      </c>
      <c r="G38" s="65">
        <v>0</v>
      </c>
      <c r="H38" s="65">
        <v>0</v>
      </c>
      <c r="I38" s="64">
        <v>100000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24">
        <f t="shared" si="11"/>
        <v>0</v>
      </c>
      <c r="T38" s="24">
        <f t="shared" si="12"/>
        <v>0</v>
      </c>
      <c r="U38" s="24">
        <f t="shared" si="13"/>
        <v>100</v>
      </c>
      <c r="V38" s="24">
        <f t="shared" si="14"/>
        <v>0</v>
      </c>
      <c r="W38" s="24">
        <f t="shared" si="15"/>
        <v>0</v>
      </c>
      <c r="X38" s="24">
        <f t="shared" si="16"/>
        <v>0</v>
      </c>
      <c r="Y38" s="24">
        <f t="shared" si="17"/>
        <v>0</v>
      </c>
      <c r="Z38" s="24">
        <f t="shared" si="18"/>
        <v>0</v>
      </c>
      <c r="AA38" s="24">
        <f t="shared" si="19"/>
        <v>0</v>
      </c>
      <c r="AB38" s="24">
        <f t="shared" si="20"/>
        <v>0</v>
      </c>
      <c r="AC38" s="24">
        <f t="shared" si="21"/>
        <v>0</v>
      </c>
      <c r="AD38" s="24">
        <f t="shared" si="22"/>
        <v>0</v>
      </c>
    </row>
    <row r="39" spans="3:30" x14ac:dyDescent="0.2">
      <c r="C39" s="63" t="s">
        <v>118</v>
      </c>
      <c r="D39" s="63" t="s">
        <v>119</v>
      </c>
      <c r="E39" s="64">
        <v>124117175</v>
      </c>
      <c r="F39" s="64">
        <v>124117175</v>
      </c>
      <c r="G39" s="65">
        <v>0</v>
      </c>
      <c r="H39" s="64">
        <v>13897000</v>
      </c>
      <c r="I39" s="64">
        <v>5957420</v>
      </c>
      <c r="J39" s="64">
        <v>29712680</v>
      </c>
      <c r="K39" s="64">
        <v>7874480</v>
      </c>
      <c r="L39" s="64">
        <v>15155420</v>
      </c>
      <c r="M39" s="64">
        <v>24819720</v>
      </c>
      <c r="N39" s="64">
        <v>6961840</v>
      </c>
      <c r="O39" s="64">
        <v>18805040</v>
      </c>
      <c r="P39" s="64">
        <v>933575</v>
      </c>
      <c r="Q39" s="65">
        <v>0</v>
      </c>
      <c r="R39" s="65">
        <v>0</v>
      </c>
      <c r="S39" s="24">
        <f t="shared" si="11"/>
        <v>0</v>
      </c>
      <c r="T39" s="24">
        <f t="shared" si="12"/>
        <v>11.196677655610515</v>
      </c>
      <c r="U39" s="24">
        <f t="shared" si="13"/>
        <v>4.7998353169092036</v>
      </c>
      <c r="V39" s="24">
        <f t="shared" si="14"/>
        <v>23.93921711479495</v>
      </c>
      <c r="W39" s="24">
        <f t="shared" si="15"/>
        <v>6.3443919022488222</v>
      </c>
      <c r="X39" s="24">
        <f t="shared" si="16"/>
        <v>12.210574402777054</v>
      </c>
      <c r="Y39" s="24">
        <f t="shared" si="17"/>
        <v>19.997006860654054</v>
      </c>
      <c r="Z39" s="24">
        <f t="shared" si="18"/>
        <v>5.6090867359815428</v>
      </c>
      <c r="AA39" s="24">
        <f t="shared" si="19"/>
        <v>15.151037718994168</v>
      </c>
      <c r="AB39" s="24">
        <f t="shared" si="20"/>
        <v>0.75217229202968894</v>
      </c>
      <c r="AC39" s="24">
        <f t="shared" si="21"/>
        <v>0</v>
      </c>
      <c r="AD39" s="24">
        <f t="shared" si="22"/>
        <v>0</v>
      </c>
    </row>
    <row r="40" spans="3:30" ht="16.5" x14ac:dyDescent="0.2">
      <c r="C40" s="66" t="s">
        <v>120</v>
      </c>
      <c r="D40" s="59" t="s">
        <v>121</v>
      </c>
      <c r="E40" s="69">
        <v>239861300</v>
      </c>
      <c r="F40" s="69">
        <v>239861300</v>
      </c>
      <c r="G40" s="67">
        <v>0</v>
      </c>
      <c r="H40" s="69">
        <v>12000000</v>
      </c>
      <c r="I40" s="69">
        <v>6288880</v>
      </c>
      <c r="J40" s="69">
        <v>41494945</v>
      </c>
      <c r="K40" s="69">
        <v>21043745</v>
      </c>
      <c r="L40" s="69">
        <v>37732830</v>
      </c>
      <c r="M40" s="69">
        <v>50509980</v>
      </c>
      <c r="N40" s="69">
        <v>28070460</v>
      </c>
      <c r="O40" s="69">
        <v>33920460</v>
      </c>
      <c r="P40" s="69">
        <v>8800000</v>
      </c>
      <c r="Q40" s="67">
        <v>0</v>
      </c>
      <c r="R40" s="67">
        <v>0</v>
      </c>
      <c r="S40" s="24">
        <f t="shared" si="11"/>
        <v>0</v>
      </c>
      <c r="T40" s="24">
        <f t="shared" si="12"/>
        <v>5.0028912542373449</v>
      </c>
      <c r="U40" s="24">
        <f t="shared" si="13"/>
        <v>2.6218818959123458</v>
      </c>
      <c r="V40" s="24">
        <f t="shared" si="14"/>
        <v>17.299558119629971</v>
      </c>
      <c r="W40" s="24">
        <f t="shared" si="15"/>
        <v>8.7732973180750715</v>
      </c>
      <c r="X40" s="24">
        <f t="shared" si="16"/>
        <v>15.731103767052042</v>
      </c>
      <c r="Y40" s="24">
        <f t="shared" si="17"/>
        <v>21.057994766141931</v>
      </c>
      <c r="Z40" s="24">
        <f t="shared" si="18"/>
        <v>11.702788236368269</v>
      </c>
      <c r="AA40" s="24">
        <f t="shared" si="19"/>
        <v>14.141697722808974</v>
      </c>
      <c r="AB40" s="24">
        <f t="shared" si="20"/>
        <v>3.6687869197740532</v>
      </c>
      <c r="AC40" s="24">
        <f t="shared" si="21"/>
        <v>0</v>
      </c>
      <c r="AD40" s="24">
        <f t="shared" si="22"/>
        <v>0</v>
      </c>
    </row>
    <row r="41" spans="3:30" ht="16.5" x14ac:dyDescent="0.2">
      <c r="C41" s="63" t="s">
        <v>122</v>
      </c>
      <c r="D41" s="59" t="s">
        <v>123</v>
      </c>
      <c r="E41" s="64">
        <v>100000</v>
      </c>
      <c r="F41" s="64">
        <v>100000</v>
      </c>
      <c r="G41" s="65">
        <v>0</v>
      </c>
      <c r="H41" s="64">
        <v>100000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24">
        <f t="shared" si="11"/>
        <v>0</v>
      </c>
      <c r="T41" s="24">
        <f t="shared" si="12"/>
        <v>100</v>
      </c>
      <c r="U41" s="24">
        <f t="shared" si="13"/>
        <v>0</v>
      </c>
      <c r="V41" s="24">
        <f t="shared" si="14"/>
        <v>0</v>
      </c>
      <c r="W41" s="24">
        <f t="shared" si="15"/>
        <v>0</v>
      </c>
      <c r="X41" s="24">
        <f t="shared" si="16"/>
        <v>0</v>
      </c>
      <c r="Y41" s="24">
        <f t="shared" si="17"/>
        <v>0</v>
      </c>
      <c r="Z41" s="24">
        <f t="shared" si="18"/>
        <v>0</v>
      </c>
      <c r="AA41" s="24">
        <f t="shared" si="19"/>
        <v>0</v>
      </c>
      <c r="AB41" s="24">
        <f t="shared" si="20"/>
        <v>0</v>
      </c>
      <c r="AC41" s="24">
        <f t="shared" si="21"/>
        <v>0</v>
      </c>
      <c r="AD41" s="24">
        <f t="shared" si="22"/>
        <v>0</v>
      </c>
    </row>
    <row r="42" spans="3:30" x14ac:dyDescent="0.2">
      <c r="C42" s="77" t="s">
        <v>60</v>
      </c>
      <c r="D42" s="80" t="s">
        <v>61</v>
      </c>
      <c r="E42" s="83" t="s">
        <v>62</v>
      </c>
      <c r="F42" s="86" t="s">
        <v>63</v>
      </c>
      <c r="G42" s="51" t="s">
        <v>64</v>
      </c>
      <c r="H42" s="75"/>
      <c r="I42" s="75"/>
      <c r="J42" s="75"/>
      <c r="K42" s="75"/>
      <c r="L42" s="76"/>
      <c r="M42" s="51" t="s">
        <v>65</v>
      </c>
      <c r="N42" s="75"/>
      <c r="O42" s="75"/>
      <c r="P42" s="75"/>
      <c r="Q42" s="75"/>
      <c r="R42" s="76"/>
      <c r="S42" s="24" t="e">
        <f t="shared" si="11"/>
        <v>#VALUE!</v>
      </c>
      <c r="T42" s="24" t="e">
        <f t="shared" si="12"/>
        <v>#VALUE!</v>
      </c>
      <c r="U42" s="24" t="e">
        <f t="shared" si="13"/>
        <v>#VALUE!</v>
      </c>
      <c r="V42" s="24" t="e">
        <f t="shared" si="14"/>
        <v>#VALUE!</v>
      </c>
      <c r="W42" s="24" t="e">
        <f t="shared" si="15"/>
        <v>#VALUE!</v>
      </c>
      <c r="X42" s="24" t="e">
        <f t="shared" si="16"/>
        <v>#VALUE!</v>
      </c>
      <c r="Y42" s="24" t="e">
        <f t="shared" si="17"/>
        <v>#VALUE!</v>
      </c>
      <c r="Z42" s="24" t="e">
        <f t="shared" si="18"/>
        <v>#VALUE!</v>
      </c>
      <c r="AA42" s="24" t="e">
        <f t="shared" si="19"/>
        <v>#VALUE!</v>
      </c>
      <c r="AB42" s="24" t="e">
        <f t="shared" si="20"/>
        <v>#VALUE!</v>
      </c>
      <c r="AC42" s="24" t="e">
        <f t="shared" si="21"/>
        <v>#VALUE!</v>
      </c>
      <c r="AD42" s="24" t="e">
        <f t="shared" si="22"/>
        <v>#VALUE!</v>
      </c>
    </row>
    <row r="43" spans="3:30" x14ac:dyDescent="0.2">
      <c r="C43" s="78"/>
      <c r="D43" s="81"/>
      <c r="E43" s="84"/>
      <c r="F43" s="87"/>
      <c r="G43" s="51" t="s">
        <v>66</v>
      </c>
      <c r="H43" s="75"/>
      <c r="I43" s="76"/>
      <c r="J43" s="51" t="s">
        <v>67</v>
      </c>
      <c r="K43" s="75"/>
      <c r="L43" s="76"/>
      <c r="M43" s="51" t="s">
        <v>68</v>
      </c>
      <c r="N43" s="75"/>
      <c r="O43" s="76"/>
      <c r="P43" s="51" t="s">
        <v>69</v>
      </c>
      <c r="Q43" s="75"/>
      <c r="R43" s="76"/>
      <c r="S43" s="24" t="e">
        <f t="shared" si="11"/>
        <v>#VALUE!</v>
      </c>
      <c r="T43" s="24" t="e">
        <f t="shared" si="12"/>
        <v>#DIV/0!</v>
      </c>
      <c r="U43" s="24" t="e">
        <f t="shared" si="13"/>
        <v>#DIV/0!</v>
      </c>
      <c r="V43" s="24" t="e">
        <f t="shared" si="14"/>
        <v>#VALUE!</v>
      </c>
      <c r="W43" s="24" t="e">
        <f t="shared" si="15"/>
        <v>#DIV/0!</v>
      </c>
      <c r="X43" s="24" t="e">
        <f t="shared" si="16"/>
        <v>#DIV/0!</v>
      </c>
      <c r="Y43" s="24" t="e">
        <f t="shared" si="17"/>
        <v>#VALUE!</v>
      </c>
      <c r="Z43" s="24" t="e">
        <f t="shared" si="18"/>
        <v>#DIV/0!</v>
      </c>
      <c r="AA43" s="24" t="e">
        <f t="shared" si="19"/>
        <v>#DIV/0!</v>
      </c>
      <c r="AB43" s="24" t="e">
        <f t="shared" si="20"/>
        <v>#VALUE!</v>
      </c>
      <c r="AC43" s="24" t="e">
        <f t="shared" si="21"/>
        <v>#DIV/0!</v>
      </c>
      <c r="AD43" s="24" t="e">
        <f t="shared" si="22"/>
        <v>#DIV/0!</v>
      </c>
    </row>
    <row r="44" spans="3:30" x14ac:dyDescent="0.2">
      <c r="C44" s="79"/>
      <c r="D44" s="82"/>
      <c r="E44" s="85"/>
      <c r="F44" s="88"/>
      <c r="G44" s="52" t="s">
        <v>70</v>
      </c>
      <c r="H44" s="52" t="s">
        <v>71</v>
      </c>
      <c r="I44" s="53" t="s">
        <v>72</v>
      </c>
      <c r="J44" s="53" t="s">
        <v>73</v>
      </c>
      <c r="K44" s="53" t="s">
        <v>74</v>
      </c>
      <c r="L44" s="53" t="s">
        <v>75</v>
      </c>
      <c r="M44" s="53" t="s">
        <v>76</v>
      </c>
      <c r="N44" s="52" t="s">
        <v>77</v>
      </c>
      <c r="O44" s="52" t="s">
        <v>78</v>
      </c>
      <c r="P44" s="52" t="s">
        <v>79</v>
      </c>
      <c r="Q44" s="52" t="s">
        <v>80</v>
      </c>
      <c r="R44" s="52" t="s">
        <v>81</v>
      </c>
      <c r="S44" s="24" t="e">
        <f t="shared" si="11"/>
        <v>#VALUE!</v>
      </c>
      <c r="T44" s="24" t="e">
        <f t="shared" si="12"/>
        <v>#VALUE!</v>
      </c>
      <c r="U44" s="24" t="e">
        <f t="shared" si="13"/>
        <v>#VALUE!</v>
      </c>
      <c r="V44" s="24" t="e">
        <f t="shared" si="14"/>
        <v>#VALUE!</v>
      </c>
      <c r="W44" s="24" t="e">
        <f t="shared" si="15"/>
        <v>#VALUE!</v>
      </c>
      <c r="X44" s="24" t="e">
        <f t="shared" si="16"/>
        <v>#VALUE!</v>
      </c>
      <c r="Y44" s="24" t="e">
        <f t="shared" si="17"/>
        <v>#VALUE!</v>
      </c>
      <c r="Z44" s="24" t="e">
        <f t="shared" si="18"/>
        <v>#VALUE!</v>
      </c>
      <c r="AA44" s="24" t="e">
        <f t="shared" si="19"/>
        <v>#VALUE!</v>
      </c>
      <c r="AB44" s="24" t="e">
        <f t="shared" si="20"/>
        <v>#VALUE!</v>
      </c>
      <c r="AC44" s="24" t="e">
        <f t="shared" si="21"/>
        <v>#VALUE!</v>
      </c>
      <c r="AD44" s="24" t="e">
        <f t="shared" si="22"/>
        <v>#VALUE!</v>
      </c>
    </row>
    <row r="45" spans="3:30" x14ac:dyDescent="0.2">
      <c r="C45" s="63" t="s">
        <v>124</v>
      </c>
      <c r="D45" s="63" t="s">
        <v>125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24" t="e">
        <f t="shared" si="11"/>
        <v>#DIV/0!</v>
      </c>
      <c r="T45" s="24" t="e">
        <f t="shared" si="12"/>
        <v>#DIV/0!</v>
      </c>
      <c r="U45" s="24" t="e">
        <f t="shared" si="13"/>
        <v>#DIV/0!</v>
      </c>
      <c r="V45" s="24" t="e">
        <f t="shared" si="14"/>
        <v>#DIV/0!</v>
      </c>
      <c r="W45" s="24" t="e">
        <f t="shared" si="15"/>
        <v>#DIV/0!</v>
      </c>
      <c r="X45" s="24" t="e">
        <f t="shared" si="16"/>
        <v>#DIV/0!</v>
      </c>
      <c r="Y45" s="24" t="e">
        <f t="shared" si="17"/>
        <v>#DIV/0!</v>
      </c>
      <c r="Z45" s="24" t="e">
        <f t="shared" si="18"/>
        <v>#DIV/0!</v>
      </c>
      <c r="AA45" s="24" t="e">
        <f t="shared" si="19"/>
        <v>#DIV/0!</v>
      </c>
      <c r="AB45" s="24" t="e">
        <f t="shared" si="20"/>
        <v>#DIV/0!</v>
      </c>
      <c r="AC45" s="24" t="e">
        <f t="shared" si="21"/>
        <v>#DIV/0!</v>
      </c>
      <c r="AD45" s="24" t="e">
        <f t="shared" si="22"/>
        <v>#DIV/0!</v>
      </c>
    </row>
    <row r="46" spans="3:30" ht="16.5" x14ac:dyDescent="0.2">
      <c r="C46" s="63" t="s">
        <v>126</v>
      </c>
      <c r="D46" s="59" t="s">
        <v>127</v>
      </c>
      <c r="E46" s="64">
        <v>1211962519</v>
      </c>
      <c r="F46" s="64">
        <v>1211962519</v>
      </c>
      <c r="G46" s="65">
        <v>0</v>
      </c>
      <c r="H46" s="64">
        <v>97000000</v>
      </c>
      <c r="I46" s="64">
        <v>105431400</v>
      </c>
      <c r="J46" s="64">
        <v>266503500</v>
      </c>
      <c r="K46" s="64">
        <v>61540500</v>
      </c>
      <c r="L46" s="64">
        <v>191290000</v>
      </c>
      <c r="M46" s="64">
        <v>194367480</v>
      </c>
      <c r="N46" s="64">
        <v>130205639</v>
      </c>
      <c r="O46" s="64">
        <v>143176000</v>
      </c>
      <c r="P46" s="64">
        <v>18520000</v>
      </c>
      <c r="Q46" s="64">
        <v>3928000</v>
      </c>
      <c r="R46" s="65">
        <v>0</v>
      </c>
      <c r="S46" s="24">
        <f t="shared" si="11"/>
        <v>0</v>
      </c>
      <c r="T46" s="24">
        <f t="shared" si="12"/>
        <v>8.0035478390895687</v>
      </c>
      <c r="U46" s="24">
        <f t="shared" si="13"/>
        <v>8.6992294189916279</v>
      </c>
      <c r="V46" s="24">
        <f t="shared" si="14"/>
        <v>21.989417644688729</v>
      </c>
      <c r="W46" s="24">
        <f t="shared" si="15"/>
        <v>5.077756039087542</v>
      </c>
      <c r="X46" s="24">
        <f t="shared" si="16"/>
        <v>15.783491403499417</v>
      </c>
      <c r="Y46" s="24">
        <f t="shared" si="17"/>
        <v>16.037416747868917</v>
      </c>
      <c r="Z46" s="24">
        <f t="shared" si="18"/>
        <v>10.743371759337386</v>
      </c>
      <c r="AA46" s="24">
        <f t="shared" si="19"/>
        <v>11.813566653706062</v>
      </c>
      <c r="AB46" s="24">
        <f t="shared" si="20"/>
        <v>1.5281000616488536</v>
      </c>
      <c r="AC46" s="24">
        <f t="shared" si="21"/>
        <v>0.3241024320818951</v>
      </c>
      <c r="AD46" s="24">
        <f t="shared" si="22"/>
        <v>0</v>
      </c>
    </row>
    <row r="47" spans="3:30" ht="16.5" x14ac:dyDescent="0.2">
      <c r="C47" s="66" t="s">
        <v>128</v>
      </c>
      <c r="D47" s="59" t="s">
        <v>129</v>
      </c>
      <c r="E47" s="69">
        <v>110000</v>
      </c>
      <c r="F47" s="69">
        <v>110000</v>
      </c>
      <c r="G47" s="67">
        <v>0</v>
      </c>
      <c r="H47" s="69">
        <v>110000</v>
      </c>
      <c r="I47" s="67">
        <v>0</v>
      </c>
      <c r="J47" s="67">
        <v>0</v>
      </c>
      <c r="K47" s="67">
        <v>0</v>
      </c>
      <c r="L47" s="67">
        <v>0</v>
      </c>
      <c r="M47" s="67">
        <v>0</v>
      </c>
      <c r="N47" s="67">
        <v>0</v>
      </c>
      <c r="O47" s="67">
        <v>0</v>
      </c>
      <c r="P47" s="67">
        <v>0</v>
      </c>
      <c r="Q47" s="67">
        <v>0</v>
      </c>
      <c r="R47" s="67">
        <v>0</v>
      </c>
      <c r="S47" s="24">
        <f t="shared" si="11"/>
        <v>0</v>
      </c>
      <c r="T47" s="24">
        <f t="shared" si="12"/>
        <v>100</v>
      </c>
      <c r="U47" s="24">
        <f t="shared" si="13"/>
        <v>0</v>
      </c>
      <c r="V47" s="24">
        <f t="shared" si="14"/>
        <v>0</v>
      </c>
      <c r="W47" s="24">
        <f t="shared" si="15"/>
        <v>0</v>
      </c>
      <c r="X47" s="24">
        <f t="shared" si="16"/>
        <v>0</v>
      </c>
      <c r="Y47" s="24">
        <f t="shared" si="17"/>
        <v>0</v>
      </c>
      <c r="Z47" s="24">
        <f t="shared" si="18"/>
        <v>0</v>
      </c>
      <c r="AA47" s="24">
        <f t="shared" si="19"/>
        <v>0</v>
      </c>
      <c r="AB47" s="24">
        <f t="shared" si="20"/>
        <v>0</v>
      </c>
      <c r="AC47" s="24">
        <f t="shared" si="21"/>
        <v>0</v>
      </c>
      <c r="AD47" s="24">
        <f t="shared" si="22"/>
        <v>0</v>
      </c>
    </row>
    <row r="48" spans="3:30" ht="24.75" x14ac:dyDescent="0.2">
      <c r="C48" s="56" t="s">
        <v>130</v>
      </c>
      <c r="D48" s="56" t="s">
        <v>131</v>
      </c>
      <c r="E48" s="57">
        <v>63810500</v>
      </c>
      <c r="F48" s="57">
        <v>63810500</v>
      </c>
      <c r="G48" s="62">
        <v>0</v>
      </c>
      <c r="H48" s="62">
        <v>0</v>
      </c>
      <c r="I48" s="57">
        <v>63810500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24">
        <f t="shared" si="11"/>
        <v>0</v>
      </c>
      <c r="T48" s="24">
        <f t="shared" si="12"/>
        <v>0</v>
      </c>
      <c r="U48" s="24">
        <f t="shared" si="13"/>
        <v>100</v>
      </c>
      <c r="V48" s="24">
        <f t="shared" si="14"/>
        <v>0</v>
      </c>
      <c r="W48" s="24">
        <f t="shared" si="15"/>
        <v>0</v>
      </c>
      <c r="X48" s="24">
        <f t="shared" si="16"/>
        <v>0</v>
      </c>
      <c r="Y48" s="24">
        <f t="shared" si="17"/>
        <v>0</v>
      </c>
      <c r="Z48" s="24">
        <f t="shared" si="18"/>
        <v>0</v>
      </c>
      <c r="AA48" s="24">
        <f t="shared" si="19"/>
        <v>0</v>
      </c>
      <c r="AB48" s="24">
        <f t="shared" si="20"/>
        <v>0</v>
      </c>
      <c r="AC48" s="24">
        <f t="shared" si="21"/>
        <v>0</v>
      </c>
      <c r="AD48" s="24">
        <f t="shared" si="22"/>
        <v>0</v>
      </c>
    </row>
    <row r="49" spans="3:30" ht="16.5" x14ac:dyDescent="0.2">
      <c r="C49" s="63" t="s">
        <v>132</v>
      </c>
      <c r="D49" s="59" t="s">
        <v>133</v>
      </c>
      <c r="E49" s="64">
        <v>38710500</v>
      </c>
      <c r="F49" s="64">
        <v>38710500</v>
      </c>
      <c r="G49" s="65">
        <v>0</v>
      </c>
      <c r="H49" s="65">
        <v>0</v>
      </c>
      <c r="I49" s="64">
        <v>38710500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24">
        <f t="shared" si="11"/>
        <v>0</v>
      </c>
      <c r="T49" s="24">
        <f t="shared" si="12"/>
        <v>0</v>
      </c>
      <c r="U49" s="24">
        <f t="shared" si="13"/>
        <v>100</v>
      </c>
      <c r="V49" s="24">
        <f t="shared" si="14"/>
        <v>0</v>
      </c>
      <c r="W49" s="24">
        <f t="shared" si="15"/>
        <v>0</v>
      </c>
      <c r="X49" s="24">
        <f t="shared" si="16"/>
        <v>0</v>
      </c>
      <c r="Y49" s="24">
        <f t="shared" si="17"/>
        <v>0</v>
      </c>
      <c r="Z49" s="24">
        <f t="shared" si="18"/>
        <v>0</v>
      </c>
      <c r="AA49" s="24">
        <f t="shared" si="19"/>
        <v>0</v>
      </c>
      <c r="AB49" s="24">
        <f t="shared" si="20"/>
        <v>0</v>
      </c>
      <c r="AC49" s="24">
        <f t="shared" si="21"/>
        <v>0</v>
      </c>
      <c r="AD49" s="24">
        <f t="shared" si="22"/>
        <v>0</v>
      </c>
    </row>
    <row r="50" spans="3:30" x14ac:dyDescent="0.2">
      <c r="C50" s="63" t="s">
        <v>134</v>
      </c>
      <c r="D50" s="63" t="s">
        <v>135</v>
      </c>
      <c r="E50" s="64">
        <v>100000</v>
      </c>
      <c r="F50" s="64">
        <v>100000</v>
      </c>
      <c r="G50" s="65">
        <v>0</v>
      </c>
      <c r="H50" s="65">
        <v>0</v>
      </c>
      <c r="I50" s="64">
        <v>100000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24">
        <f t="shared" si="11"/>
        <v>0</v>
      </c>
      <c r="T50" s="24">
        <f t="shared" si="12"/>
        <v>0</v>
      </c>
      <c r="U50" s="24">
        <f t="shared" si="13"/>
        <v>100</v>
      </c>
      <c r="V50" s="24">
        <f t="shared" si="14"/>
        <v>0</v>
      </c>
      <c r="W50" s="24">
        <f t="shared" si="15"/>
        <v>0</v>
      </c>
      <c r="X50" s="24">
        <f t="shared" si="16"/>
        <v>0</v>
      </c>
      <c r="Y50" s="24">
        <f t="shared" si="17"/>
        <v>0</v>
      </c>
      <c r="Z50" s="24">
        <f t="shared" si="18"/>
        <v>0</v>
      </c>
      <c r="AA50" s="24">
        <f t="shared" si="19"/>
        <v>0</v>
      </c>
      <c r="AB50" s="24">
        <f t="shared" si="20"/>
        <v>0</v>
      </c>
      <c r="AC50" s="24">
        <f t="shared" si="21"/>
        <v>0</v>
      </c>
      <c r="AD50" s="24">
        <f t="shared" si="22"/>
        <v>0</v>
      </c>
    </row>
    <row r="51" spans="3:30" x14ac:dyDescent="0.2">
      <c r="C51" s="63" t="s">
        <v>136</v>
      </c>
      <c r="D51" s="63" t="s">
        <v>137</v>
      </c>
      <c r="E51" s="64">
        <v>25000000</v>
      </c>
      <c r="F51" s="64">
        <v>25000000</v>
      </c>
      <c r="G51" s="65">
        <v>0</v>
      </c>
      <c r="H51" s="65">
        <v>0</v>
      </c>
      <c r="I51" s="64">
        <v>25000000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24">
        <f t="shared" si="11"/>
        <v>0</v>
      </c>
      <c r="T51" s="24">
        <f t="shared" si="12"/>
        <v>0</v>
      </c>
      <c r="U51" s="24">
        <f t="shared" si="13"/>
        <v>100</v>
      </c>
      <c r="V51" s="24">
        <f t="shared" si="14"/>
        <v>0</v>
      </c>
      <c r="W51" s="24">
        <f t="shared" si="15"/>
        <v>0</v>
      </c>
      <c r="X51" s="24">
        <f t="shared" si="16"/>
        <v>0</v>
      </c>
      <c r="Y51" s="24">
        <f t="shared" si="17"/>
        <v>0</v>
      </c>
      <c r="Z51" s="24">
        <f t="shared" si="18"/>
        <v>0</v>
      </c>
      <c r="AA51" s="24">
        <f t="shared" si="19"/>
        <v>0</v>
      </c>
      <c r="AB51" s="24">
        <f t="shared" si="20"/>
        <v>0</v>
      </c>
      <c r="AC51" s="24">
        <f t="shared" si="21"/>
        <v>0</v>
      </c>
      <c r="AD51" s="24">
        <f t="shared" si="22"/>
        <v>0</v>
      </c>
    </row>
    <row r="52" spans="3:30" ht="24.75" x14ac:dyDescent="0.2">
      <c r="C52" s="63" t="s">
        <v>138</v>
      </c>
      <c r="D52" s="59" t="s">
        <v>139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24" t="e">
        <f t="shared" si="11"/>
        <v>#DIV/0!</v>
      </c>
      <c r="T52" s="24" t="e">
        <f t="shared" si="12"/>
        <v>#DIV/0!</v>
      </c>
      <c r="U52" s="24" t="e">
        <f t="shared" si="13"/>
        <v>#DIV/0!</v>
      </c>
      <c r="V52" s="24" t="e">
        <f t="shared" si="14"/>
        <v>#DIV/0!</v>
      </c>
      <c r="W52" s="24" t="e">
        <f t="shared" si="15"/>
        <v>#DIV/0!</v>
      </c>
      <c r="X52" s="24" t="e">
        <f t="shared" si="16"/>
        <v>#DIV/0!</v>
      </c>
      <c r="Y52" s="24" t="e">
        <f t="shared" si="17"/>
        <v>#DIV/0!</v>
      </c>
      <c r="Z52" s="24" t="e">
        <f t="shared" si="18"/>
        <v>#DIV/0!</v>
      </c>
      <c r="AA52" s="24" t="e">
        <f t="shared" si="19"/>
        <v>#DIV/0!</v>
      </c>
      <c r="AB52" s="24" t="e">
        <f t="shared" si="20"/>
        <v>#DIV/0!</v>
      </c>
      <c r="AC52" s="24" t="e">
        <f t="shared" si="21"/>
        <v>#DIV/0!</v>
      </c>
      <c r="AD52" s="24" t="e">
        <f t="shared" si="22"/>
        <v>#DIV/0!</v>
      </c>
    </row>
    <row r="53" spans="3:30" ht="24.75" x14ac:dyDescent="0.2">
      <c r="C53" s="68" t="s">
        <v>140</v>
      </c>
      <c r="D53" s="59" t="s">
        <v>141</v>
      </c>
      <c r="E53" s="61">
        <v>1921524706</v>
      </c>
      <c r="F53" s="61">
        <v>1921524706</v>
      </c>
      <c r="G53" s="61">
        <v>102714945</v>
      </c>
      <c r="H53" s="61">
        <v>98951281</v>
      </c>
      <c r="I53" s="61">
        <v>361802562</v>
      </c>
      <c r="J53" s="61">
        <v>149764945</v>
      </c>
      <c r="K53" s="61">
        <v>50901281</v>
      </c>
      <c r="L53" s="61">
        <v>265901281</v>
      </c>
      <c r="M53" s="61">
        <v>144516945</v>
      </c>
      <c r="N53" s="61">
        <v>50901281</v>
      </c>
      <c r="O53" s="61">
        <v>265901281</v>
      </c>
      <c r="P53" s="61">
        <v>109558145</v>
      </c>
      <c r="Q53" s="61">
        <v>50901281</v>
      </c>
      <c r="R53" s="61">
        <v>269709478</v>
      </c>
      <c r="S53" s="24">
        <f t="shared" si="11"/>
        <v>5.3454917690764265</v>
      </c>
      <c r="T53" s="24">
        <f t="shared" si="12"/>
        <v>5.1496231451525247</v>
      </c>
      <c r="U53" s="24">
        <f t="shared" si="13"/>
        <v>18.828931049924268</v>
      </c>
      <c r="V53" s="24">
        <f t="shared" si="14"/>
        <v>7.7940681445497901</v>
      </c>
      <c r="W53" s="24">
        <f t="shared" si="15"/>
        <v>2.6490047638242546</v>
      </c>
      <c r="X53" s="24">
        <f t="shared" si="16"/>
        <v>13.838036022629208</v>
      </c>
      <c r="Y53" s="24">
        <f t="shared" si="17"/>
        <v>7.5209516978232385</v>
      </c>
      <c r="Z53" s="24">
        <f t="shared" si="18"/>
        <v>2.6490047638242546</v>
      </c>
      <c r="AA53" s="24">
        <f t="shared" si="19"/>
        <v>13.838036022629208</v>
      </c>
      <c r="AB53" s="24">
        <f t="shared" si="20"/>
        <v>5.7016256235427241</v>
      </c>
      <c r="AC53" s="24">
        <f t="shared" si="21"/>
        <v>2.6490047638242546</v>
      </c>
      <c r="AD53" s="24">
        <f t="shared" si="22"/>
        <v>14.036222233199847</v>
      </c>
    </row>
    <row r="54" spans="3:30" x14ac:dyDescent="0.2">
      <c r="C54" s="63" t="s">
        <v>142</v>
      </c>
      <c r="D54" s="63" t="s">
        <v>143</v>
      </c>
      <c r="E54" s="64">
        <v>6000000</v>
      </c>
      <c r="F54" s="64">
        <v>6000000</v>
      </c>
      <c r="G54" s="65">
        <v>0</v>
      </c>
      <c r="H54" s="64">
        <v>2500000</v>
      </c>
      <c r="I54" s="65">
        <v>0</v>
      </c>
      <c r="J54" s="64">
        <v>1500000</v>
      </c>
      <c r="K54" s="65">
        <v>0</v>
      </c>
      <c r="L54" s="65">
        <v>0</v>
      </c>
      <c r="M54" s="64">
        <v>1500000</v>
      </c>
      <c r="N54" s="65">
        <v>0</v>
      </c>
      <c r="O54" s="65">
        <v>0</v>
      </c>
      <c r="P54" s="64">
        <v>500000</v>
      </c>
      <c r="Q54" s="65">
        <v>0</v>
      </c>
      <c r="R54" s="65">
        <v>0</v>
      </c>
      <c r="S54" s="24">
        <f t="shared" si="11"/>
        <v>0</v>
      </c>
      <c r="T54" s="24">
        <f t="shared" si="12"/>
        <v>41.666666666666671</v>
      </c>
      <c r="U54" s="24">
        <f t="shared" si="13"/>
        <v>0</v>
      </c>
      <c r="V54" s="24">
        <f t="shared" si="14"/>
        <v>25</v>
      </c>
      <c r="W54" s="24">
        <f t="shared" si="15"/>
        <v>0</v>
      </c>
      <c r="X54" s="24">
        <f t="shared" si="16"/>
        <v>0</v>
      </c>
      <c r="Y54" s="24">
        <f t="shared" si="17"/>
        <v>25</v>
      </c>
      <c r="Z54" s="24">
        <f t="shared" si="18"/>
        <v>0</v>
      </c>
      <c r="AA54" s="24">
        <f t="shared" si="19"/>
        <v>0</v>
      </c>
      <c r="AB54" s="24">
        <f t="shared" si="20"/>
        <v>8.3333333333333321</v>
      </c>
      <c r="AC54" s="24">
        <f t="shared" si="21"/>
        <v>0</v>
      </c>
      <c r="AD54" s="24">
        <f t="shared" si="22"/>
        <v>0</v>
      </c>
    </row>
    <row r="55" spans="3:30" ht="16.5" x14ac:dyDescent="0.2">
      <c r="C55" s="63" t="s">
        <v>144</v>
      </c>
      <c r="D55" s="59" t="s">
        <v>145</v>
      </c>
      <c r="E55" s="64">
        <v>132786000</v>
      </c>
      <c r="F55" s="64">
        <v>132786000</v>
      </c>
      <c r="G55" s="64">
        <v>40000000</v>
      </c>
      <c r="H55" s="65">
        <v>0</v>
      </c>
      <c r="I55" s="65">
        <v>0</v>
      </c>
      <c r="J55" s="64">
        <v>40000000</v>
      </c>
      <c r="K55" s="65">
        <v>0</v>
      </c>
      <c r="L55" s="65">
        <v>0</v>
      </c>
      <c r="M55" s="64">
        <v>39772000</v>
      </c>
      <c r="N55" s="65">
        <v>0</v>
      </c>
      <c r="O55" s="65">
        <v>0</v>
      </c>
      <c r="P55" s="64">
        <v>13014000</v>
      </c>
      <c r="Q55" s="65">
        <v>0</v>
      </c>
      <c r="R55" s="65">
        <v>0</v>
      </c>
      <c r="S55" s="24">
        <f t="shared" si="11"/>
        <v>30.123657614507554</v>
      </c>
      <c r="T55" s="24">
        <f t="shared" si="12"/>
        <v>0</v>
      </c>
      <c r="U55" s="24">
        <f t="shared" si="13"/>
        <v>0</v>
      </c>
      <c r="V55" s="24">
        <f t="shared" si="14"/>
        <v>30.123657614507554</v>
      </c>
      <c r="W55" s="24">
        <f t="shared" si="15"/>
        <v>0</v>
      </c>
      <c r="X55" s="24">
        <f t="shared" si="16"/>
        <v>0</v>
      </c>
      <c r="Y55" s="24">
        <f t="shared" si="17"/>
        <v>29.95195276610486</v>
      </c>
      <c r="Z55" s="24">
        <f t="shared" si="18"/>
        <v>0</v>
      </c>
      <c r="AA55" s="24">
        <f t="shared" si="19"/>
        <v>0</v>
      </c>
      <c r="AB55" s="24">
        <f t="shared" si="20"/>
        <v>9.8007320048800324</v>
      </c>
      <c r="AC55" s="24">
        <f t="shared" si="21"/>
        <v>0</v>
      </c>
      <c r="AD55" s="24">
        <f t="shared" si="22"/>
        <v>0</v>
      </c>
    </row>
    <row r="56" spans="3:30" ht="16.5" x14ac:dyDescent="0.2">
      <c r="C56" s="66" t="s">
        <v>146</v>
      </c>
      <c r="D56" s="59" t="s">
        <v>147</v>
      </c>
      <c r="E56" s="69">
        <v>1782738706</v>
      </c>
      <c r="F56" s="69">
        <v>1782738706</v>
      </c>
      <c r="G56" s="69">
        <v>62714945</v>
      </c>
      <c r="H56" s="69">
        <v>96451281</v>
      </c>
      <c r="I56" s="69">
        <v>361802562</v>
      </c>
      <c r="J56" s="69">
        <v>108264945</v>
      </c>
      <c r="K56" s="69">
        <v>50901281</v>
      </c>
      <c r="L56" s="69">
        <v>265901281</v>
      </c>
      <c r="M56" s="69">
        <v>103244945</v>
      </c>
      <c r="N56" s="69">
        <v>50901281</v>
      </c>
      <c r="O56" s="69">
        <v>265901281</v>
      </c>
      <c r="P56" s="69">
        <v>96044145</v>
      </c>
      <c r="Q56" s="69">
        <v>50901281</v>
      </c>
      <c r="R56" s="69">
        <v>269709478</v>
      </c>
      <c r="S56" s="24">
        <f t="shared" si="11"/>
        <v>3.5178988815874175</v>
      </c>
      <c r="T56" s="24">
        <f t="shared" si="12"/>
        <v>5.4102870305885418</v>
      </c>
      <c r="U56" s="24">
        <f t="shared" si="13"/>
        <v>20.29476113253806</v>
      </c>
      <c r="V56" s="24">
        <f t="shared" si="14"/>
        <v>6.0729564369485338</v>
      </c>
      <c r="W56" s="24">
        <f t="shared" si="15"/>
        <v>2.8552294752274254</v>
      </c>
      <c r="X56" s="24">
        <f t="shared" si="16"/>
        <v>14.91532551041162</v>
      </c>
      <c r="Y56" s="24">
        <f t="shared" si="17"/>
        <v>5.7913672178944653</v>
      </c>
      <c r="Z56" s="24">
        <f t="shared" si="18"/>
        <v>2.8552294752274254</v>
      </c>
      <c r="AA56" s="24">
        <f t="shared" si="19"/>
        <v>14.91532551041162</v>
      </c>
      <c r="AB56" s="24">
        <f t="shared" si="20"/>
        <v>5.3874493596146777</v>
      </c>
      <c r="AC56" s="24">
        <f t="shared" si="21"/>
        <v>2.8552294752274254</v>
      </c>
      <c r="AD56" s="24">
        <f t="shared" si="22"/>
        <v>15.128940494322784</v>
      </c>
    </row>
    <row r="57" spans="3:30" ht="33" x14ac:dyDescent="0.2">
      <c r="C57" s="56" t="s">
        <v>148</v>
      </c>
      <c r="D57" s="59" t="s">
        <v>149</v>
      </c>
      <c r="E57" s="57">
        <v>360620000</v>
      </c>
      <c r="F57" s="57">
        <v>360620000</v>
      </c>
      <c r="G57" s="62">
        <v>0</v>
      </c>
      <c r="H57" s="57">
        <v>68150000</v>
      </c>
      <c r="I57" s="57">
        <v>136100000</v>
      </c>
      <c r="J57" s="57">
        <v>58750000</v>
      </c>
      <c r="K57" s="62">
        <v>0</v>
      </c>
      <c r="L57" s="62">
        <v>0</v>
      </c>
      <c r="M57" s="57">
        <v>56000000</v>
      </c>
      <c r="N57" s="62">
        <v>0</v>
      </c>
      <c r="O57" s="62">
        <v>0</v>
      </c>
      <c r="P57" s="57">
        <v>41620000</v>
      </c>
      <c r="Q57" s="62">
        <v>0</v>
      </c>
      <c r="R57" s="62">
        <v>0</v>
      </c>
      <c r="S57" s="24">
        <f t="shared" si="11"/>
        <v>0</v>
      </c>
      <c r="T57" s="24">
        <f t="shared" si="12"/>
        <v>18.898008984526648</v>
      </c>
      <c r="U57" s="24">
        <f t="shared" si="13"/>
        <v>37.740557928012869</v>
      </c>
      <c r="V57" s="24">
        <f t="shared" si="14"/>
        <v>16.291387055626423</v>
      </c>
      <c r="W57" s="24">
        <f t="shared" si="15"/>
        <v>0</v>
      </c>
      <c r="X57" s="24">
        <f t="shared" si="16"/>
        <v>0</v>
      </c>
      <c r="Y57" s="24">
        <f t="shared" si="17"/>
        <v>15.528811491320504</v>
      </c>
      <c r="Z57" s="24">
        <f t="shared" si="18"/>
        <v>0</v>
      </c>
      <c r="AA57" s="24">
        <f t="shared" si="19"/>
        <v>0</v>
      </c>
      <c r="AB57" s="24">
        <f t="shared" si="20"/>
        <v>11.54123454051356</v>
      </c>
      <c r="AC57" s="24">
        <f t="shared" si="21"/>
        <v>0</v>
      </c>
      <c r="AD57" s="24">
        <f t="shared" si="22"/>
        <v>0</v>
      </c>
    </row>
    <row r="58" spans="3:30" ht="33" x14ac:dyDescent="0.2">
      <c r="C58" s="66" t="s">
        <v>150</v>
      </c>
      <c r="D58" s="59" t="s">
        <v>151</v>
      </c>
      <c r="E58" s="69">
        <v>43190000</v>
      </c>
      <c r="F58" s="69">
        <v>43190000</v>
      </c>
      <c r="G58" s="67">
        <v>0</v>
      </c>
      <c r="H58" s="69">
        <v>10000000</v>
      </c>
      <c r="I58" s="67">
        <v>0</v>
      </c>
      <c r="J58" s="69">
        <v>10000000</v>
      </c>
      <c r="K58" s="67">
        <v>0</v>
      </c>
      <c r="L58" s="67">
        <v>0</v>
      </c>
      <c r="M58" s="69">
        <v>10000000</v>
      </c>
      <c r="N58" s="67">
        <v>0</v>
      </c>
      <c r="O58" s="67">
        <v>0</v>
      </c>
      <c r="P58" s="69">
        <v>13190000</v>
      </c>
      <c r="Q58" s="67">
        <v>0</v>
      </c>
      <c r="R58" s="67">
        <v>0</v>
      </c>
      <c r="S58" s="24">
        <f t="shared" si="11"/>
        <v>0</v>
      </c>
      <c r="T58" s="24">
        <f t="shared" si="12"/>
        <v>23.1535077564251</v>
      </c>
      <c r="U58" s="24">
        <f t="shared" si="13"/>
        <v>0</v>
      </c>
      <c r="V58" s="24">
        <f t="shared" si="14"/>
        <v>23.1535077564251</v>
      </c>
      <c r="W58" s="24">
        <f t="shared" si="15"/>
        <v>0</v>
      </c>
      <c r="X58" s="24">
        <f t="shared" si="16"/>
        <v>0</v>
      </c>
      <c r="Y58" s="24">
        <f t="shared" si="17"/>
        <v>23.1535077564251</v>
      </c>
      <c r="Z58" s="24">
        <f t="shared" si="18"/>
        <v>0</v>
      </c>
      <c r="AA58" s="24">
        <f t="shared" si="19"/>
        <v>0</v>
      </c>
      <c r="AB58" s="24">
        <f t="shared" si="20"/>
        <v>30.539476730724708</v>
      </c>
      <c r="AC58" s="24">
        <f t="shared" si="21"/>
        <v>0</v>
      </c>
      <c r="AD58" s="24">
        <f t="shared" si="22"/>
        <v>0</v>
      </c>
    </row>
    <row r="59" spans="3:30" ht="33" x14ac:dyDescent="0.2">
      <c r="C59" s="66" t="s">
        <v>152</v>
      </c>
      <c r="D59" s="59" t="s">
        <v>153</v>
      </c>
      <c r="E59" s="69">
        <v>103900000</v>
      </c>
      <c r="F59" s="69">
        <v>103900000</v>
      </c>
      <c r="G59" s="67">
        <v>0</v>
      </c>
      <c r="H59" s="69">
        <v>35150000</v>
      </c>
      <c r="I59" s="67">
        <v>0</v>
      </c>
      <c r="J59" s="69">
        <v>26000000</v>
      </c>
      <c r="K59" s="67">
        <v>0</v>
      </c>
      <c r="L59" s="67">
        <v>0</v>
      </c>
      <c r="M59" s="69">
        <v>26000000</v>
      </c>
      <c r="N59" s="67">
        <v>0</v>
      </c>
      <c r="O59" s="67">
        <v>0</v>
      </c>
      <c r="P59" s="69">
        <v>16750000</v>
      </c>
      <c r="Q59" s="67">
        <v>0</v>
      </c>
      <c r="R59" s="67">
        <v>0</v>
      </c>
      <c r="S59" s="24">
        <f t="shared" si="11"/>
        <v>0</v>
      </c>
      <c r="T59" s="24">
        <f t="shared" si="12"/>
        <v>33.830606352261789</v>
      </c>
      <c r="U59" s="24">
        <f t="shared" si="13"/>
        <v>0</v>
      </c>
      <c r="V59" s="24">
        <f t="shared" si="14"/>
        <v>25.024061597690089</v>
      </c>
      <c r="W59" s="24">
        <f t="shared" si="15"/>
        <v>0</v>
      </c>
      <c r="X59" s="24">
        <f t="shared" si="16"/>
        <v>0</v>
      </c>
      <c r="Y59" s="24">
        <f t="shared" si="17"/>
        <v>25.024061597690089</v>
      </c>
      <c r="Z59" s="24">
        <f t="shared" si="18"/>
        <v>0</v>
      </c>
      <c r="AA59" s="24">
        <f t="shared" si="19"/>
        <v>0</v>
      </c>
      <c r="AB59" s="24">
        <f t="shared" si="20"/>
        <v>16.121270452358036</v>
      </c>
      <c r="AC59" s="24">
        <f t="shared" si="21"/>
        <v>0</v>
      </c>
      <c r="AD59" s="24">
        <f t="shared" si="22"/>
        <v>0</v>
      </c>
    </row>
    <row r="60" spans="3:30" x14ac:dyDescent="0.2">
      <c r="C60" s="63" t="s">
        <v>154</v>
      </c>
      <c r="D60" s="63" t="s">
        <v>155</v>
      </c>
      <c r="E60" s="64">
        <v>10000000</v>
      </c>
      <c r="F60" s="64">
        <v>10000000</v>
      </c>
      <c r="G60" s="65">
        <v>0</v>
      </c>
      <c r="H60" s="64">
        <v>4000000</v>
      </c>
      <c r="I60" s="65">
        <v>0</v>
      </c>
      <c r="J60" s="64">
        <v>4000000</v>
      </c>
      <c r="K60" s="65">
        <v>0</v>
      </c>
      <c r="L60" s="65">
        <v>0</v>
      </c>
      <c r="M60" s="64">
        <v>2000000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24">
        <f t="shared" si="11"/>
        <v>0</v>
      </c>
      <c r="T60" s="24">
        <f t="shared" si="12"/>
        <v>40</v>
      </c>
      <c r="U60" s="24">
        <f t="shared" si="13"/>
        <v>0</v>
      </c>
      <c r="V60" s="24">
        <f t="shared" si="14"/>
        <v>40</v>
      </c>
      <c r="W60" s="24">
        <f t="shared" si="15"/>
        <v>0</v>
      </c>
      <c r="X60" s="24">
        <f t="shared" si="16"/>
        <v>0</v>
      </c>
      <c r="Y60" s="24">
        <f t="shared" si="17"/>
        <v>20</v>
      </c>
      <c r="Z60" s="24">
        <f t="shared" si="18"/>
        <v>0</v>
      </c>
      <c r="AA60" s="24">
        <f t="shared" si="19"/>
        <v>0</v>
      </c>
      <c r="AB60" s="24">
        <f t="shared" si="20"/>
        <v>0</v>
      </c>
      <c r="AC60" s="24">
        <f t="shared" si="21"/>
        <v>0</v>
      </c>
      <c r="AD60" s="24">
        <f t="shared" si="22"/>
        <v>0</v>
      </c>
    </row>
    <row r="61" spans="3:30" ht="16.5" x14ac:dyDescent="0.2">
      <c r="C61" s="66" t="s">
        <v>156</v>
      </c>
      <c r="D61" s="59" t="s">
        <v>157</v>
      </c>
      <c r="E61" s="69">
        <v>67430000</v>
      </c>
      <c r="F61" s="69">
        <v>67430000</v>
      </c>
      <c r="G61" s="67">
        <v>0</v>
      </c>
      <c r="H61" s="69">
        <v>19000000</v>
      </c>
      <c r="I61" s="67">
        <v>0</v>
      </c>
      <c r="J61" s="69">
        <v>18750000</v>
      </c>
      <c r="K61" s="67">
        <v>0</v>
      </c>
      <c r="L61" s="67">
        <v>0</v>
      </c>
      <c r="M61" s="69">
        <v>18000000</v>
      </c>
      <c r="N61" s="67">
        <v>0</v>
      </c>
      <c r="O61" s="67">
        <v>0</v>
      </c>
      <c r="P61" s="69">
        <v>11680000</v>
      </c>
      <c r="Q61" s="67">
        <v>0</v>
      </c>
      <c r="R61" s="67">
        <v>0</v>
      </c>
      <c r="S61" s="24">
        <f t="shared" si="11"/>
        <v>0</v>
      </c>
      <c r="T61" s="24">
        <f t="shared" si="12"/>
        <v>28.177369123535517</v>
      </c>
      <c r="U61" s="24">
        <f t="shared" si="13"/>
        <v>0</v>
      </c>
      <c r="V61" s="24">
        <f t="shared" si="14"/>
        <v>27.806614266646896</v>
      </c>
      <c r="W61" s="24">
        <f t="shared" si="15"/>
        <v>0</v>
      </c>
      <c r="X61" s="24">
        <f t="shared" si="16"/>
        <v>0</v>
      </c>
      <c r="Y61" s="24">
        <f t="shared" si="17"/>
        <v>26.694349695981018</v>
      </c>
      <c r="Z61" s="24">
        <f t="shared" si="18"/>
        <v>0</v>
      </c>
      <c r="AA61" s="24">
        <f t="shared" si="19"/>
        <v>0</v>
      </c>
      <c r="AB61" s="24">
        <f t="shared" si="20"/>
        <v>17.321666913836573</v>
      </c>
      <c r="AC61" s="24">
        <f t="shared" si="21"/>
        <v>0</v>
      </c>
      <c r="AD61" s="24">
        <f t="shared" si="22"/>
        <v>0</v>
      </c>
    </row>
    <row r="62" spans="3:30" ht="16.5" x14ac:dyDescent="0.2">
      <c r="C62" s="63" t="s">
        <v>158</v>
      </c>
      <c r="D62" s="63" t="s">
        <v>159</v>
      </c>
      <c r="E62" s="64">
        <v>136000000</v>
      </c>
      <c r="F62" s="64">
        <v>136000000</v>
      </c>
      <c r="G62" s="65">
        <v>0</v>
      </c>
      <c r="H62" s="65">
        <v>0</v>
      </c>
      <c r="I62" s="64">
        <v>136000000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24">
        <f t="shared" si="11"/>
        <v>0</v>
      </c>
      <c r="T62" s="24">
        <f t="shared" si="12"/>
        <v>0</v>
      </c>
      <c r="U62" s="24">
        <f t="shared" si="13"/>
        <v>100</v>
      </c>
      <c r="V62" s="24">
        <f t="shared" si="14"/>
        <v>0</v>
      </c>
      <c r="W62" s="24">
        <f t="shared" si="15"/>
        <v>0</v>
      </c>
      <c r="X62" s="24">
        <f t="shared" si="16"/>
        <v>0</v>
      </c>
      <c r="Y62" s="24">
        <f t="shared" si="17"/>
        <v>0</v>
      </c>
      <c r="Z62" s="24">
        <f t="shared" si="18"/>
        <v>0</v>
      </c>
      <c r="AA62" s="24">
        <f t="shared" si="19"/>
        <v>0</v>
      </c>
      <c r="AB62" s="24">
        <f t="shared" si="20"/>
        <v>0</v>
      </c>
      <c r="AC62" s="24">
        <f t="shared" si="21"/>
        <v>0</v>
      </c>
      <c r="AD62" s="24">
        <f t="shared" si="22"/>
        <v>0</v>
      </c>
    </row>
    <row r="63" spans="3:30" ht="16.5" x14ac:dyDescent="0.2">
      <c r="C63" s="70" t="s">
        <v>160</v>
      </c>
      <c r="D63" s="70" t="s">
        <v>161</v>
      </c>
      <c r="E63" s="71">
        <v>100000</v>
      </c>
      <c r="F63" s="71">
        <v>100000</v>
      </c>
      <c r="G63" s="72">
        <v>0</v>
      </c>
      <c r="H63" s="72">
        <v>0</v>
      </c>
      <c r="I63" s="71">
        <v>100000</v>
      </c>
      <c r="J63" s="72">
        <v>0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24">
        <f t="shared" si="11"/>
        <v>0</v>
      </c>
      <c r="T63" s="24">
        <f t="shared" si="12"/>
        <v>0</v>
      </c>
      <c r="U63" s="24">
        <f t="shared" si="13"/>
        <v>100</v>
      </c>
      <c r="V63" s="24">
        <f t="shared" si="14"/>
        <v>0</v>
      </c>
      <c r="W63" s="24">
        <f t="shared" si="15"/>
        <v>0</v>
      </c>
      <c r="X63" s="24">
        <f t="shared" si="16"/>
        <v>0</v>
      </c>
      <c r="Y63" s="24">
        <f t="shared" si="17"/>
        <v>0</v>
      </c>
      <c r="Z63" s="24">
        <f t="shared" si="18"/>
        <v>0</v>
      </c>
      <c r="AA63" s="24">
        <f t="shared" si="19"/>
        <v>0</v>
      </c>
      <c r="AB63" s="24">
        <f t="shared" si="20"/>
        <v>0</v>
      </c>
      <c r="AC63" s="24">
        <f t="shared" si="21"/>
        <v>0</v>
      </c>
      <c r="AD63" s="24">
        <f t="shared" si="22"/>
        <v>0</v>
      </c>
    </row>
    <row r="64" spans="3:30" x14ac:dyDescent="0.2">
      <c r="C64" s="77" t="s">
        <v>60</v>
      </c>
      <c r="D64" s="80" t="s">
        <v>61</v>
      </c>
      <c r="E64" s="83" t="s">
        <v>62</v>
      </c>
      <c r="F64" s="86" t="s">
        <v>63</v>
      </c>
      <c r="G64" s="51" t="s">
        <v>64</v>
      </c>
      <c r="H64" s="75"/>
      <c r="I64" s="75"/>
      <c r="J64" s="75"/>
      <c r="K64" s="75"/>
      <c r="L64" s="76"/>
      <c r="M64" s="51" t="s">
        <v>65</v>
      </c>
      <c r="N64" s="75"/>
      <c r="O64" s="75"/>
      <c r="P64" s="75"/>
      <c r="Q64" s="75"/>
      <c r="R64" s="76"/>
      <c r="S64" s="24" t="e">
        <f t="shared" si="11"/>
        <v>#VALUE!</v>
      </c>
      <c r="T64" s="24" t="e">
        <f t="shared" si="12"/>
        <v>#VALUE!</v>
      </c>
      <c r="U64" s="24" t="e">
        <f t="shared" si="13"/>
        <v>#VALUE!</v>
      </c>
      <c r="V64" s="24" t="e">
        <f t="shared" si="14"/>
        <v>#VALUE!</v>
      </c>
      <c r="W64" s="24" t="e">
        <f t="shared" si="15"/>
        <v>#VALUE!</v>
      </c>
      <c r="X64" s="24" t="e">
        <f t="shared" si="16"/>
        <v>#VALUE!</v>
      </c>
      <c r="Y64" s="24" t="e">
        <f t="shared" si="17"/>
        <v>#VALUE!</v>
      </c>
      <c r="Z64" s="24" t="e">
        <f t="shared" si="18"/>
        <v>#VALUE!</v>
      </c>
      <c r="AA64" s="24" t="e">
        <f t="shared" si="19"/>
        <v>#VALUE!</v>
      </c>
      <c r="AB64" s="24" t="e">
        <f t="shared" si="20"/>
        <v>#VALUE!</v>
      </c>
      <c r="AC64" s="24" t="e">
        <f t="shared" si="21"/>
        <v>#VALUE!</v>
      </c>
      <c r="AD64" s="24" t="e">
        <f t="shared" si="22"/>
        <v>#VALUE!</v>
      </c>
    </row>
    <row r="65" spans="3:30" x14ac:dyDescent="0.2">
      <c r="C65" s="78"/>
      <c r="D65" s="81"/>
      <c r="E65" s="84"/>
      <c r="F65" s="87"/>
      <c r="G65" s="51" t="s">
        <v>66</v>
      </c>
      <c r="H65" s="75"/>
      <c r="I65" s="76"/>
      <c r="J65" s="51" t="s">
        <v>67</v>
      </c>
      <c r="K65" s="75"/>
      <c r="L65" s="76"/>
      <c r="M65" s="51" t="s">
        <v>68</v>
      </c>
      <c r="N65" s="75"/>
      <c r="O65" s="76"/>
      <c r="P65" s="51" t="s">
        <v>69</v>
      </c>
      <c r="Q65" s="75"/>
      <c r="R65" s="76"/>
      <c r="S65" s="24" t="e">
        <f t="shared" si="11"/>
        <v>#VALUE!</v>
      </c>
      <c r="T65" s="24" t="e">
        <f t="shared" si="12"/>
        <v>#DIV/0!</v>
      </c>
      <c r="U65" s="24" t="e">
        <f t="shared" si="13"/>
        <v>#DIV/0!</v>
      </c>
      <c r="V65" s="24" t="e">
        <f t="shared" si="14"/>
        <v>#VALUE!</v>
      </c>
      <c r="W65" s="24" t="e">
        <f t="shared" si="15"/>
        <v>#DIV/0!</v>
      </c>
      <c r="X65" s="24" t="e">
        <f t="shared" si="16"/>
        <v>#DIV/0!</v>
      </c>
      <c r="Y65" s="24" t="e">
        <f t="shared" si="17"/>
        <v>#VALUE!</v>
      </c>
      <c r="Z65" s="24" t="e">
        <f t="shared" si="18"/>
        <v>#DIV/0!</v>
      </c>
      <c r="AA65" s="24" t="e">
        <f t="shared" si="19"/>
        <v>#DIV/0!</v>
      </c>
      <c r="AB65" s="24" t="e">
        <f t="shared" si="20"/>
        <v>#VALUE!</v>
      </c>
      <c r="AC65" s="24" t="e">
        <f t="shared" si="21"/>
        <v>#DIV/0!</v>
      </c>
      <c r="AD65" s="24" t="e">
        <f t="shared" si="22"/>
        <v>#DIV/0!</v>
      </c>
    </row>
    <row r="66" spans="3:30" x14ac:dyDescent="0.2">
      <c r="C66" s="79"/>
      <c r="D66" s="82"/>
      <c r="E66" s="85"/>
      <c r="F66" s="88"/>
      <c r="G66" s="52" t="s">
        <v>70</v>
      </c>
      <c r="H66" s="52" t="s">
        <v>71</v>
      </c>
      <c r="I66" s="53" t="s">
        <v>72</v>
      </c>
      <c r="J66" s="53" t="s">
        <v>73</v>
      </c>
      <c r="K66" s="53" t="s">
        <v>74</v>
      </c>
      <c r="L66" s="53" t="s">
        <v>75</v>
      </c>
      <c r="M66" s="53" t="s">
        <v>76</v>
      </c>
      <c r="N66" s="52" t="s">
        <v>77</v>
      </c>
      <c r="O66" s="52" t="s">
        <v>78</v>
      </c>
      <c r="P66" s="52" t="s">
        <v>79</v>
      </c>
      <c r="Q66" s="52" t="s">
        <v>80</v>
      </c>
      <c r="R66" s="52" t="s">
        <v>81</v>
      </c>
      <c r="S66" s="24" t="e">
        <f t="shared" si="11"/>
        <v>#VALUE!</v>
      </c>
      <c r="T66" s="24" t="e">
        <f t="shared" si="12"/>
        <v>#VALUE!</v>
      </c>
      <c r="U66" s="24" t="e">
        <f t="shared" si="13"/>
        <v>#VALUE!</v>
      </c>
      <c r="V66" s="24" t="e">
        <f t="shared" si="14"/>
        <v>#VALUE!</v>
      </c>
      <c r="W66" s="24" t="e">
        <f t="shared" si="15"/>
        <v>#VALUE!</v>
      </c>
      <c r="X66" s="24" t="e">
        <f t="shared" si="16"/>
        <v>#VALUE!</v>
      </c>
      <c r="Y66" s="24" t="e">
        <f t="shared" si="17"/>
        <v>#VALUE!</v>
      </c>
      <c r="Z66" s="24" t="e">
        <f t="shared" si="18"/>
        <v>#VALUE!</v>
      </c>
      <c r="AA66" s="24" t="e">
        <f t="shared" si="19"/>
        <v>#VALUE!</v>
      </c>
      <c r="AB66" s="24" t="e">
        <f t="shared" si="20"/>
        <v>#VALUE!</v>
      </c>
      <c r="AC66" s="24" t="e">
        <f t="shared" si="21"/>
        <v>#VALUE!</v>
      </c>
      <c r="AD66" s="24" t="e">
        <f t="shared" si="22"/>
        <v>#VALUE!</v>
      </c>
    </row>
    <row r="67" spans="3:30" x14ac:dyDescent="0.2">
      <c r="C67" s="73"/>
      <c r="D67" s="63" t="s">
        <v>162</v>
      </c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24" t="e">
        <f t="shared" si="11"/>
        <v>#DIV/0!</v>
      </c>
      <c r="T67" s="24" t="e">
        <f t="shared" si="12"/>
        <v>#DIV/0!</v>
      </c>
      <c r="U67" s="24" t="e">
        <f t="shared" si="13"/>
        <v>#DIV/0!</v>
      </c>
      <c r="V67" s="24" t="e">
        <f t="shared" si="14"/>
        <v>#DIV/0!</v>
      </c>
      <c r="W67" s="24" t="e">
        <f t="shared" si="15"/>
        <v>#DIV/0!</v>
      </c>
      <c r="X67" s="24" t="e">
        <f t="shared" si="16"/>
        <v>#DIV/0!</v>
      </c>
      <c r="Y67" s="24" t="e">
        <f t="shared" si="17"/>
        <v>#DIV/0!</v>
      </c>
      <c r="Z67" s="24" t="e">
        <f t="shared" si="18"/>
        <v>#DIV/0!</v>
      </c>
      <c r="AA67" s="24" t="e">
        <f t="shared" si="19"/>
        <v>#DIV/0!</v>
      </c>
      <c r="AB67" s="24" t="e">
        <f t="shared" si="20"/>
        <v>#DIV/0!</v>
      </c>
      <c r="AC67" s="24" t="e">
        <f t="shared" si="21"/>
        <v>#DIV/0!</v>
      </c>
      <c r="AD67" s="24" t="e">
        <f t="shared" si="22"/>
        <v>#DIV/0!</v>
      </c>
    </row>
    <row r="68" spans="3:30" ht="24.75" x14ac:dyDescent="0.2">
      <c r="C68" s="58">
        <v>37306</v>
      </c>
      <c r="D68" s="59" t="s">
        <v>163</v>
      </c>
      <c r="E68" s="57">
        <v>3410805200</v>
      </c>
      <c r="F68" s="57">
        <v>3410805200</v>
      </c>
      <c r="G68" s="62">
        <v>0</v>
      </c>
      <c r="H68" s="62">
        <v>0</v>
      </c>
      <c r="I68" s="57">
        <v>33000000</v>
      </c>
      <c r="J68" s="57">
        <v>769200800</v>
      </c>
      <c r="K68" s="57">
        <v>348032400</v>
      </c>
      <c r="L68" s="57">
        <v>709041000</v>
      </c>
      <c r="M68" s="57">
        <v>499416000</v>
      </c>
      <c r="N68" s="57">
        <v>368087000</v>
      </c>
      <c r="O68" s="57">
        <v>455148000</v>
      </c>
      <c r="P68" s="57">
        <v>228880000</v>
      </c>
      <c r="Q68" s="62">
        <v>0</v>
      </c>
      <c r="R68" s="62">
        <v>0</v>
      </c>
      <c r="S68" s="24">
        <f t="shared" si="11"/>
        <v>0</v>
      </c>
      <c r="T68" s="24">
        <f t="shared" si="12"/>
        <v>0</v>
      </c>
      <c r="U68" s="24">
        <f t="shared" si="13"/>
        <v>0.96751347746274108</v>
      </c>
      <c r="V68" s="24">
        <f t="shared" si="14"/>
        <v>22.551883056821893</v>
      </c>
      <c r="W68" s="24">
        <f t="shared" si="15"/>
        <v>10.203819321021324</v>
      </c>
      <c r="X68" s="24">
        <f t="shared" si="16"/>
        <v>20.788082532535132</v>
      </c>
      <c r="Y68" s="24">
        <f t="shared" si="17"/>
        <v>14.642173056379768</v>
      </c>
      <c r="Z68" s="24">
        <f t="shared" si="18"/>
        <v>10.791791920570544</v>
      </c>
      <c r="AA68" s="24">
        <f t="shared" si="19"/>
        <v>13.34429770424884</v>
      </c>
      <c r="AB68" s="24">
        <f t="shared" si="20"/>
        <v>6.7104389309597625</v>
      </c>
      <c r="AC68" s="24">
        <f t="shared" si="21"/>
        <v>0</v>
      </c>
      <c r="AD68" s="24">
        <f t="shared" si="22"/>
        <v>0</v>
      </c>
    </row>
    <row r="69" spans="3:30" ht="33" x14ac:dyDescent="0.2">
      <c r="C69" s="68" t="s">
        <v>164</v>
      </c>
      <c r="D69" s="56" t="s">
        <v>165</v>
      </c>
      <c r="E69" s="61">
        <v>2968425200</v>
      </c>
      <c r="F69" s="61">
        <v>2968425200</v>
      </c>
      <c r="G69" s="74">
        <v>0</v>
      </c>
      <c r="H69" s="74">
        <v>0</v>
      </c>
      <c r="I69" s="61">
        <v>33000000</v>
      </c>
      <c r="J69" s="61">
        <v>604140800</v>
      </c>
      <c r="K69" s="61">
        <v>348032400</v>
      </c>
      <c r="L69" s="61">
        <v>709041000</v>
      </c>
      <c r="M69" s="61">
        <v>377056000</v>
      </c>
      <c r="N69" s="61">
        <v>213127000</v>
      </c>
      <c r="O69" s="61">
        <v>455148000</v>
      </c>
      <c r="P69" s="61">
        <v>228880000</v>
      </c>
      <c r="Q69" s="74">
        <v>0</v>
      </c>
      <c r="R69" s="74">
        <v>0</v>
      </c>
      <c r="S69" s="24">
        <f t="shared" si="11"/>
        <v>0</v>
      </c>
      <c r="T69" s="24">
        <f t="shared" si="12"/>
        <v>0</v>
      </c>
      <c r="U69" s="24">
        <f t="shared" si="13"/>
        <v>1.1117005744325308</v>
      </c>
      <c r="V69" s="24">
        <f t="shared" si="14"/>
        <v>20.352232557519052</v>
      </c>
      <c r="W69" s="24">
        <f t="shared" si="15"/>
        <v>11.724479363670676</v>
      </c>
      <c r="X69" s="24">
        <f t="shared" si="16"/>
        <v>23.88609960594594</v>
      </c>
      <c r="Y69" s="24">
        <f t="shared" si="17"/>
        <v>12.702223387673705</v>
      </c>
      <c r="Z69" s="24">
        <f t="shared" si="18"/>
        <v>7.1798002523358173</v>
      </c>
      <c r="AA69" s="24">
        <f t="shared" si="19"/>
        <v>15.332978577327802</v>
      </c>
      <c r="AB69" s="24">
        <f t="shared" si="20"/>
        <v>7.7104856810944744</v>
      </c>
      <c r="AC69" s="24">
        <f t="shared" si="21"/>
        <v>0</v>
      </c>
      <c r="AD69" s="24">
        <f t="shared" si="22"/>
        <v>0</v>
      </c>
    </row>
    <row r="70" spans="3:30" ht="24.75" x14ac:dyDescent="0.2">
      <c r="C70" s="63" t="s">
        <v>166</v>
      </c>
      <c r="D70" s="59" t="s">
        <v>167</v>
      </c>
      <c r="E70" s="64">
        <v>2517547200</v>
      </c>
      <c r="F70" s="64">
        <v>2517547200</v>
      </c>
      <c r="G70" s="65">
        <v>0</v>
      </c>
      <c r="H70" s="65">
        <v>0</v>
      </c>
      <c r="I70" s="64">
        <v>33000000</v>
      </c>
      <c r="J70" s="64">
        <v>450020800</v>
      </c>
      <c r="K70" s="64">
        <v>348032400</v>
      </c>
      <c r="L70" s="64">
        <v>709041000</v>
      </c>
      <c r="M70" s="64">
        <v>202958000</v>
      </c>
      <c r="N70" s="64">
        <v>90467000</v>
      </c>
      <c r="O70" s="64">
        <v>455148000</v>
      </c>
      <c r="P70" s="64">
        <v>228880000</v>
      </c>
      <c r="Q70" s="65">
        <v>0</v>
      </c>
      <c r="R70" s="65">
        <v>0</v>
      </c>
      <c r="S70" s="24">
        <f t="shared" si="11"/>
        <v>0</v>
      </c>
      <c r="T70" s="24">
        <f t="shared" si="12"/>
        <v>0</v>
      </c>
      <c r="U70" s="24">
        <f t="shared" si="13"/>
        <v>1.3107996545208767</v>
      </c>
      <c r="V70" s="24">
        <f t="shared" si="14"/>
        <v>17.875366944460865</v>
      </c>
      <c r="W70" s="24">
        <f t="shared" si="15"/>
        <v>13.824265141880954</v>
      </c>
      <c r="X70" s="24">
        <f t="shared" si="16"/>
        <v>28.16396054064051</v>
      </c>
      <c r="Y70" s="24">
        <f t="shared" si="17"/>
        <v>8.0617356449166078</v>
      </c>
      <c r="Z70" s="24">
        <f t="shared" si="18"/>
        <v>3.5934579498648525</v>
      </c>
      <c r="AA70" s="24">
        <f t="shared" si="19"/>
        <v>18.079025489571755</v>
      </c>
      <c r="AB70" s="24">
        <f t="shared" si="20"/>
        <v>9.0913886341435823</v>
      </c>
      <c r="AC70" s="24">
        <f t="shared" si="21"/>
        <v>0</v>
      </c>
      <c r="AD70" s="24">
        <f t="shared" si="22"/>
        <v>0</v>
      </c>
    </row>
    <row r="71" spans="3:30" ht="57.75" x14ac:dyDescent="0.2">
      <c r="C71" s="66" t="s">
        <v>168</v>
      </c>
      <c r="D71" s="59" t="s">
        <v>169</v>
      </c>
      <c r="E71" s="67">
        <v>0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0</v>
      </c>
      <c r="L71" s="67">
        <v>0</v>
      </c>
      <c r="M71" s="67">
        <v>0</v>
      </c>
      <c r="N71" s="67">
        <v>0</v>
      </c>
      <c r="O71" s="67">
        <v>0</v>
      </c>
      <c r="P71" s="67">
        <v>0</v>
      </c>
      <c r="Q71" s="67">
        <v>0</v>
      </c>
      <c r="R71" s="67">
        <v>0</v>
      </c>
      <c r="S71" s="24" t="e">
        <f t="shared" ref="S71:S132" si="23">G71/$E71*100</f>
        <v>#DIV/0!</v>
      </c>
      <c r="T71" s="24" t="e">
        <f t="shared" ref="T71:T132" si="24">H71/$E71*100</f>
        <v>#DIV/0!</v>
      </c>
      <c r="U71" s="24" t="e">
        <f t="shared" ref="U71:U132" si="25">I71/$E71*100</f>
        <v>#DIV/0!</v>
      </c>
      <c r="V71" s="24" t="e">
        <f t="shared" ref="V71:V132" si="26">J71/$E71*100</f>
        <v>#DIV/0!</v>
      </c>
      <c r="W71" s="24" t="e">
        <f t="shared" ref="W71:W132" si="27">K71/$E71*100</f>
        <v>#DIV/0!</v>
      </c>
      <c r="X71" s="24" t="e">
        <f t="shared" ref="X71:X132" si="28">L71/$E71*100</f>
        <v>#DIV/0!</v>
      </c>
      <c r="Y71" s="24" t="e">
        <f t="shared" ref="Y71:Y132" si="29">M71/$E71*100</f>
        <v>#DIV/0!</v>
      </c>
      <c r="Z71" s="24" t="e">
        <f t="shared" ref="Z71:Z132" si="30">N71/$E71*100</f>
        <v>#DIV/0!</v>
      </c>
      <c r="AA71" s="24" t="e">
        <f t="shared" ref="AA71:AA132" si="31">O71/$E71*100</f>
        <v>#DIV/0!</v>
      </c>
      <c r="AB71" s="24" t="e">
        <f t="shared" ref="AB71:AB132" si="32">P71/$E71*100</f>
        <v>#DIV/0!</v>
      </c>
      <c r="AC71" s="24" t="e">
        <f t="shared" ref="AC71:AC132" si="33">Q71/$E71*100</f>
        <v>#DIV/0!</v>
      </c>
      <c r="AD71" s="24" t="e">
        <f t="shared" ref="AD71:AD132" si="34">R71/$E71*100</f>
        <v>#DIV/0!</v>
      </c>
    </row>
    <row r="72" spans="3:30" ht="24.75" x14ac:dyDescent="0.2">
      <c r="C72" s="63" t="s">
        <v>170</v>
      </c>
      <c r="D72" s="59" t="s">
        <v>171</v>
      </c>
      <c r="E72" s="64">
        <v>284550000</v>
      </c>
      <c r="F72" s="64">
        <v>284550000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4">
        <v>161890000</v>
      </c>
      <c r="N72" s="64">
        <v>122660000</v>
      </c>
      <c r="O72" s="65">
        <v>0</v>
      </c>
      <c r="P72" s="65">
        <v>0</v>
      </c>
      <c r="Q72" s="65">
        <v>0</v>
      </c>
      <c r="R72" s="65">
        <v>0</v>
      </c>
      <c r="S72" s="24">
        <f t="shared" si="23"/>
        <v>0</v>
      </c>
      <c r="T72" s="24">
        <f t="shared" si="24"/>
        <v>0</v>
      </c>
      <c r="U72" s="24">
        <f t="shared" si="25"/>
        <v>0</v>
      </c>
      <c r="V72" s="24">
        <f t="shared" si="26"/>
        <v>0</v>
      </c>
      <c r="W72" s="24">
        <f t="shared" si="27"/>
        <v>0</v>
      </c>
      <c r="X72" s="24">
        <f t="shared" si="28"/>
        <v>0</v>
      </c>
      <c r="Y72" s="24">
        <f t="shared" si="29"/>
        <v>56.893340361975056</v>
      </c>
      <c r="Z72" s="24">
        <f t="shared" si="30"/>
        <v>43.106659638024951</v>
      </c>
      <c r="AA72" s="24">
        <f t="shared" si="31"/>
        <v>0</v>
      </c>
      <c r="AB72" s="24">
        <f t="shared" si="32"/>
        <v>0</v>
      </c>
      <c r="AC72" s="24">
        <f t="shared" si="33"/>
        <v>0</v>
      </c>
      <c r="AD72" s="24">
        <f t="shared" si="34"/>
        <v>0</v>
      </c>
    </row>
    <row r="73" spans="3:30" ht="33" x14ac:dyDescent="0.2">
      <c r="C73" s="66" t="s">
        <v>172</v>
      </c>
      <c r="D73" s="59" t="s">
        <v>173</v>
      </c>
      <c r="E73" s="69">
        <v>12208000</v>
      </c>
      <c r="F73" s="69">
        <v>12208000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9">
        <v>12208000</v>
      </c>
      <c r="N73" s="67">
        <v>0</v>
      </c>
      <c r="O73" s="67">
        <v>0</v>
      </c>
      <c r="P73" s="67">
        <v>0</v>
      </c>
      <c r="Q73" s="67">
        <v>0</v>
      </c>
      <c r="R73" s="67">
        <v>0</v>
      </c>
      <c r="S73" s="24">
        <f t="shared" si="23"/>
        <v>0</v>
      </c>
      <c r="T73" s="24">
        <f t="shared" si="24"/>
        <v>0</v>
      </c>
      <c r="U73" s="24">
        <f t="shared" si="25"/>
        <v>0</v>
      </c>
      <c r="V73" s="24">
        <f t="shared" si="26"/>
        <v>0</v>
      </c>
      <c r="W73" s="24">
        <f t="shared" si="27"/>
        <v>0</v>
      </c>
      <c r="X73" s="24">
        <f t="shared" si="28"/>
        <v>0</v>
      </c>
      <c r="Y73" s="24">
        <f t="shared" si="29"/>
        <v>100</v>
      </c>
      <c r="Z73" s="24">
        <f t="shared" si="30"/>
        <v>0</v>
      </c>
      <c r="AA73" s="24">
        <f t="shared" si="31"/>
        <v>0</v>
      </c>
      <c r="AB73" s="24">
        <f t="shared" si="32"/>
        <v>0</v>
      </c>
      <c r="AC73" s="24">
        <f t="shared" si="33"/>
        <v>0</v>
      </c>
      <c r="AD73" s="24">
        <f t="shared" si="34"/>
        <v>0</v>
      </c>
    </row>
    <row r="74" spans="3:30" ht="33" x14ac:dyDescent="0.2">
      <c r="C74" s="66" t="s">
        <v>174</v>
      </c>
      <c r="D74" s="63" t="s">
        <v>175</v>
      </c>
      <c r="E74" s="69">
        <v>154120000</v>
      </c>
      <c r="F74" s="69">
        <v>154120000</v>
      </c>
      <c r="G74" s="67">
        <v>0</v>
      </c>
      <c r="H74" s="67">
        <v>0</v>
      </c>
      <c r="I74" s="67">
        <v>0</v>
      </c>
      <c r="J74" s="69">
        <v>154120000</v>
      </c>
      <c r="K74" s="67">
        <v>0</v>
      </c>
      <c r="L74" s="67">
        <v>0</v>
      </c>
      <c r="M74" s="67">
        <v>0</v>
      </c>
      <c r="N74" s="67">
        <v>0</v>
      </c>
      <c r="O74" s="67">
        <v>0</v>
      </c>
      <c r="P74" s="67">
        <v>0</v>
      </c>
      <c r="Q74" s="67">
        <v>0</v>
      </c>
      <c r="R74" s="67">
        <v>0</v>
      </c>
      <c r="S74" s="24">
        <f t="shared" si="23"/>
        <v>0</v>
      </c>
      <c r="T74" s="24">
        <f t="shared" si="24"/>
        <v>0</v>
      </c>
      <c r="U74" s="24">
        <f t="shared" si="25"/>
        <v>0</v>
      </c>
      <c r="V74" s="24">
        <f t="shared" si="26"/>
        <v>100</v>
      </c>
      <c r="W74" s="24">
        <f t="shared" si="27"/>
        <v>0</v>
      </c>
      <c r="X74" s="24">
        <f t="shared" si="28"/>
        <v>0</v>
      </c>
      <c r="Y74" s="24">
        <f t="shared" si="29"/>
        <v>0</v>
      </c>
      <c r="Z74" s="24">
        <f t="shared" si="30"/>
        <v>0</v>
      </c>
      <c r="AA74" s="24">
        <f t="shared" si="31"/>
        <v>0</v>
      </c>
      <c r="AB74" s="24">
        <f t="shared" si="32"/>
        <v>0</v>
      </c>
      <c r="AC74" s="24">
        <f t="shared" si="33"/>
        <v>0</v>
      </c>
      <c r="AD74" s="24">
        <f t="shared" si="34"/>
        <v>0</v>
      </c>
    </row>
    <row r="75" spans="3:30" ht="33" x14ac:dyDescent="0.2">
      <c r="C75" s="56" t="s">
        <v>176</v>
      </c>
      <c r="D75" s="59" t="s">
        <v>177</v>
      </c>
      <c r="E75" s="57">
        <v>442380000</v>
      </c>
      <c r="F75" s="57">
        <v>442380000</v>
      </c>
      <c r="G75" s="62">
        <v>0</v>
      </c>
      <c r="H75" s="62">
        <v>0</v>
      </c>
      <c r="I75" s="62">
        <v>0</v>
      </c>
      <c r="J75" s="57">
        <v>165060000</v>
      </c>
      <c r="K75" s="62">
        <v>0</v>
      </c>
      <c r="L75" s="62">
        <v>0</v>
      </c>
      <c r="M75" s="57">
        <v>122360000</v>
      </c>
      <c r="N75" s="57">
        <v>154960000</v>
      </c>
      <c r="O75" s="62">
        <v>0</v>
      </c>
      <c r="P75" s="62">
        <v>0</v>
      </c>
      <c r="Q75" s="62">
        <v>0</v>
      </c>
      <c r="R75" s="62">
        <v>0</v>
      </c>
      <c r="S75" s="24">
        <f t="shared" si="23"/>
        <v>0</v>
      </c>
      <c r="T75" s="24">
        <f t="shared" si="24"/>
        <v>0</v>
      </c>
      <c r="U75" s="24">
        <f t="shared" si="25"/>
        <v>0</v>
      </c>
      <c r="V75" s="24">
        <f t="shared" si="26"/>
        <v>37.311813373118135</v>
      </c>
      <c r="W75" s="24">
        <f t="shared" si="27"/>
        <v>0</v>
      </c>
      <c r="X75" s="24">
        <f t="shared" si="28"/>
        <v>0</v>
      </c>
      <c r="Y75" s="24">
        <f t="shared" si="29"/>
        <v>27.659478276594783</v>
      </c>
      <c r="Z75" s="24">
        <f t="shared" si="30"/>
        <v>35.028708350287083</v>
      </c>
      <c r="AA75" s="24">
        <f t="shared" si="31"/>
        <v>0</v>
      </c>
      <c r="AB75" s="24">
        <f t="shared" si="32"/>
        <v>0</v>
      </c>
      <c r="AC75" s="24">
        <f t="shared" si="33"/>
        <v>0</v>
      </c>
      <c r="AD75" s="24">
        <f t="shared" si="34"/>
        <v>0</v>
      </c>
    </row>
    <row r="76" spans="3:30" ht="33" x14ac:dyDescent="0.2">
      <c r="C76" s="66" t="s">
        <v>178</v>
      </c>
      <c r="D76" s="59" t="s">
        <v>179</v>
      </c>
      <c r="E76" s="69">
        <v>442380000</v>
      </c>
      <c r="F76" s="69">
        <v>442380000</v>
      </c>
      <c r="G76" s="67">
        <v>0</v>
      </c>
      <c r="H76" s="67">
        <v>0</v>
      </c>
      <c r="I76" s="67">
        <v>0</v>
      </c>
      <c r="J76" s="69">
        <v>165060000</v>
      </c>
      <c r="K76" s="67">
        <v>0</v>
      </c>
      <c r="L76" s="67">
        <v>0</v>
      </c>
      <c r="M76" s="69">
        <v>122360000</v>
      </c>
      <c r="N76" s="69">
        <v>154960000</v>
      </c>
      <c r="O76" s="67">
        <v>0</v>
      </c>
      <c r="P76" s="67">
        <v>0</v>
      </c>
      <c r="Q76" s="67">
        <v>0</v>
      </c>
      <c r="R76" s="67">
        <v>0</v>
      </c>
      <c r="S76" s="24">
        <f t="shared" si="23"/>
        <v>0</v>
      </c>
      <c r="T76" s="24">
        <f t="shared" si="24"/>
        <v>0</v>
      </c>
      <c r="U76" s="24">
        <f t="shared" si="25"/>
        <v>0</v>
      </c>
      <c r="V76" s="24">
        <f t="shared" si="26"/>
        <v>37.311813373118135</v>
      </c>
      <c r="W76" s="24">
        <f t="shared" si="27"/>
        <v>0</v>
      </c>
      <c r="X76" s="24">
        <f t="shared" si="28"/>
        <v>0</v>
      </c>
      <c r="Y76" s="24">
        <f t="shared" si="29"/>
        <v>27.659478276594783</v>
      </c>
      <c r="Z76" s="24">
        <f t="shared" si="30"/>
        <v>35.028708350287083</v>
      </c>
      <c r="AA76" s="24">
        <f t="shared" si="31"/>
        <v>0</v>
      </c>
      <c r="AB76" s="24">
        <f t="shared" si="32"/>
        <v>0</v>
      </c>
      <c r="AC76" s="24">
        <f t="shared" si="33"/>
        <v>0</v>
      </c>
      <c r="AD76" s="24">
        <f t="shared" si="34"/>
        <v>0</v>
      </c>
    </row>
    <row r="77" spans="3:30" ht="24.75" x14ac:dyDescent="0.2">
      <c r="C77" s="58">
        <v>37671</v>
      </c>
      <c r="D77" s="59" t="s">
        <v>180</v>
      </c>
      <c r="E77" s="57">
        <v>34363545500</v>
      </c>
      <c r="F77" s="57">
        <v>34363545500</v>
      </c>
      <c r="G77" s="62">
        <v>0</v>
      </c>
      <c r="H77" s="57">
        <v>429691000</v>
      </c>
      <c r="I77" s="57">
        <v>10247700000</v>
      </c>
      <c r="J77" s="57">
        <v>700468375</v>
      </c>
      <c r="K77" s="57">
        <v>741793375</v>
      </c>
      <c r="L77" s="57">
        <v>535462250</v>
      </c>
      <c r="M77" s="57">
        <v>19188305375</v>
      </c>
      <c r="N77" s="57">
        <v>1079929500</v>
      </c>
      <c r="O77" s="57">
        <v>1071544500</v>
      </c>
      <c r="P77" s="57">
        <v>313421125</v>
      </c>
      <c r="Q77" s="57">
        <v>52080000</v>
      </c>
      <c r="R77" s="57">
        <v>3150000</v>
      </c>
      <c r="S77" s="24">
        <f t="shared" si="23"/>
        <v>0</v>
      </c>
      <c r="T77" s="24">
        <f t="shared" si="24"/>
        <v>1.2504268513270844</v>
      </c>
      <c r="U77" s="24">
        <f t="shared" si="25"/>
        <v>29.821428059569698</v>
      </c>
      <c r="V77" s="24">
        <f t="shared" si="26"/>
        <v>2.0384054229794186</v>
      </c>
      <c r="W77" s="24">
        <f t="shared" si="27"/>
        <v>2.158663677471814</v>
      </c>
      <c r="X77" s="24">
        <f t="shared" si="28"/>
        <v>1.5582275990700669</v>
      </c>
      <c r="Y77" s="24">
        <f t="shared" si="29"/>
        <v>55.839131544211583</v>
      </c>
      <c r="Z77" s="24">
        <f t="shared" si="30"/>
        <v>3.1426602938861472</v>
      </c>
      <c r="AA77" s="24">
        <f t="shared" si="31"/>
        <v>3.1182594357150952</v>
      </c>
      <c r="AB77" s="24">
        <f t="shared" si="32"/>
        <v>0.91207446856727858</v>
      </c>
      <c r="AC77" s="24">
        <f t="shared" si="33"/>
        <v>0.15155595629676805</v>
      </c>
      <c r="AD77" s="24">
        <f t="shared" si="34"/>
        <v>9.1666909050464544E-3</v>
      </c>
    </row>
    <row r="78" spans="3:30" ht="16.5" x14ac:dyDescent="0.2">
      <c r="C78" s="56" t="s">
        <v>181</v>
      </c>
      <c r="D78" s="56" t="s">
        <v>182</v>
      </c>
      <c r="E78" s="57">
        <v>4310622500</v>
      </c>
      <c r="F78" s="57">
        <v>4310622500</v>
      </c>
      <c r="G78" s="62">
        <v>0</v>
      </c>
      <c r="H78" s="62">
        <v>0</v>
      </c>
      <c r="I78" s="62">
        <v>0</v>
      </c>
      <c r="J78" s="57">
        <v>646593375</v>
      </c>
      <c r="K78" s="57">
        <v>646593375</v>
      </c>
      <c r="L78" s="57">
        <v>431062250</v>
      </c>
      <c r="M78" s="57">
        <v>646593375</v>
      </c>
      <c r="N78" s="57">
        <v>862124500</v>
      </c>
      <c r="O78" s="57">
        <v>862124500</v>
      </c>
      <c r="P78" s="57">
        <v>215531125</v>
      </c>
      <c r="Q78" s="62">
        <v>0</v>
      </c>
      <c r="R78" s="62">
        <v>0</v>
      </c>
      <c r="S78" s="24">
        <f t="shared" si="23"/>
        <v>0</v>
      </c>
      <c r="T78" s="24">
        <f t="shared" si="24"/>
        <v>0</v>
      </c>
      <c r="U78" s="24">
        <f t="shared" si="25"/>
        <v>0</v>
      </c>
      <c r="V78" s="24">
        <f t="shared" si="26"/>
        <v>15</v>
      </c>
      <c r="W78" s="24">
        <f t="shared" si="27"/>
        <v>15</v>
      </c>
      <c r="X78" s="24">
        <f t="shared" si="28"/>
        <v>10</v>
      </c>
      <c r="Y78" s="24">
        <f t="shared" si="29"/>
        <v>15</v>
      </c>
      <c r="Z78" s="24">
        <f t="shared" si="30"/>
        <v>20</v>
      </c>
      <c r="AA78" s="24">
        <f t="shared" si="31"/>
        <v>20</v>
      </c>
      <c r="AB78" s="24">
        <f t="shared" si="32"/>
        <v>5</v>
      </c>
      <c r="AC78" s="24">
        <f t="shared" si="33"/>
        <v>0</v>
      </c>
      <c r="AD78" s="24">
        <f t="shared" si="34"/>
        <v>0</v>
      </c>
    </row>
    <row r="79" spans="3:30" ht="16.5" x14ac:dyDescent="0.2">
      <c r="C79" s="66" t="s">
        <v>183</v>
      </c>
      <c r="D79" s="59" t="s">
        <v>184</v>
      </c>
      <c r="E79" s="69">
        <v>4310622500</v>
      </c>
      <c r="F79" s="69">
        <v>4310622500</v>
      </c>
      <c r="G79" s="67">
        <v>0</v>
      </c>
      <c r="H79" s="67">
        <v>0</v>
      </c>
      <c r="I79" s="67">
        <v>0</v>
      </c>
      <c r="J79" s="69">
        <v>646593375</v>
      </c>
      <c r="K79" s="69">
        <v>646593375</v>
      </c>
      <c r="L79" s="69">
        <v>431062250</v>
      </c>
      <c r="M79" s="69">
        <v>646593375</v>
      </c>
      <c r="N79" s="69">
        <v>862124500</v>
      </c>
      <c r="O79" s="69">
        <v>862124500</v>
      </c>
      <c r="P79" s="69">
        <v>215531125</v>
      </c>
      <c r="Q79" s="67">
        <v>0</v>
      </c>
      <c r="R79" s="67">
        <v>0</v>
      </c>
      <c r="S79" s="24">
        <f t="shared" si="23"/>
        <v>0</v>
      </c>
      <c r="T79" s="24">
        <f t="shared" si="24"/>
        <v>0</v>
      </c>
      <c r="U79" s="24">
        <f t="shared" si="25"/>
        <v>0</v>
      </c>
      <c r="V79" s="24">
        <f t="shared" si="26"/>
        <v>15</v>
      </c>
      <c r="W79" s="24">
        <f t="shared" si="27"/>
        <v>15</v>
      </c>
      <c r="X79" s="24">
        <f t="shared" si="28"/>
        <v>10</v>
      </c>
      <c r="Y79" s="24">
        <f t="shared" si="29"/>
        <v>15</v>
      </c>
      <c r="Z79" s="24">
        <f t="shared" si="30"/>
        <v>20</v>
      </c>
      <c r="AA79" s="24">
        <f t="shared" si="31"/>
        <v>20</v>
      </c>
      <c r="AB79" s="24">
        <f t="shared" si="32"/>
        <v>5</v>
      </c>
      <c r="AC79" s="24">
        <f t="shared" si="33"/>
        <v>0</v>
      </c>
      <c r="AD79" s="24">
        <f t="shared" si="34"/>
        <v>0</v>
      </c>
    </row>
    <row r="80" spans="3:30" x14ac:dyDescent="0.2">
      <c r="C80" s="77" t="s">
        <v>60</v>
      </c>
      <c r="D80" s="80" t="s">
        <v>61</v>
      </c>
      <c r="E80" s="83" t="s">
        <v>62</v>
      </c>
      <c r="F80" s="86" t="s">
        <v>63</v>
      </c>
      <c r="G80" s="51" t="s">
        <v>64</v>
      </c>
      <c r="H80" s="75"/>
      <c r="I80" s="75"/>
      <c r="J80" s="75"/>
      <c r="K80" s="75"/>
      <c r="L80" s="76"/>
      <c r="M80" s="51" t="s">
        <v>65</v>
      </c>
      <c r="N80" s="75"/>
      <c r="O80" s="75"/>
      <c r="P80" s="75"/>
      <c r="Q80" s="75"/>
      <c r="R80" s="76"/>
      <c r="S80" s="24" t="e">
        <f t="shared" si="23"/>
        <v>#VALUE!</v>
      </c>
      <c r="T80" s="24" t="e">
        <f t="shared" si="24"/>
        <v>#VALUE!</v>
      </c>
      <c r="U80" s="24" t="e">
        <f t="shared" si="25"/>
        <v>#VALUE!</v>
      </c>
      <c r="V80" s="24" t="e">
        <f t="shared" si="26"/>
        <v>#VALUE!</v>
      </c>
      <c r="W80" s="24" t="e">
        <f t="shared" si="27"/>
        <v>#VALUE!</v>
      </c>
      <c r="X80" s="24" t="e">
        <f t="shared" si="28"/>
        <v>#VALUE!</v>
      </c>
      <c r="Y80" s="24" t="e">
        <f t="shared" si="29"/>
        <v>#VALUE!</v>
      </c>
      <c r="Z80" s="24" t="e">
        <f t="shared" si="30"/>
        <v>#VALUE!</v>
      </c>
      <c r="AA80" s="24" t="e">
        <f t="shared" si="31"/>
        <v>#VALUE!</v>
      </c>
      <c r="AB80" s="24" t="e">
        <f t="shared" si="32"/>
        <v>#VALUE!</v>
      </c>
      <c r="AC80" s="24" t="e">
        <f t="shared" si="33"/>
        <v>#VALUE!</v>
      </c>
      <c r="AD80" s="24" t="e">
        <f t="shared" si="34"/>
        <v>#VALUE!</v>
      </c>
    </row>
    <row r="81" spans="3:30" x14ac:dyDescent="0.2">
      <c r="C81" s="78"/>
      <c r="D81" s="81"/>
      <c r="E81" s="84"/>
      <c r="F81" s="87"/>
      <c r="G81" s="51" t="s">
        <v>66</v>
      </c>
      <c r="H81" s="75"/>
      <c r="I81" s="76"/>
      <c r="J81" s="51" t="s">
        <v>67</v>
      </c>
      <c r="K81" s="75"/>
      <c r="L81" s="76"/>
      <c r="M81" s="51" t="s">
        <v>68</v>
      </c>
      <c r="N81" s="75"/>
      <c r="O81" s="76"/>
      <c r="P81" s="51" t="s">
        <v>69</v>
      </c>
      <c r="Q81" s="75"/>
      <c r="R81" s="76"/>
      <c r="S81" s="24" t="e">
        <f t="shared" si="23"/>
        <v>#VALUE!</v>
      </c>
      <c r="T81" s="24" t="e">
        <f t="shared" si="24"/>
        <v>#DIV/0!</v>
      </c>
      <c r="U81" s="24" t="e">
        <f t="shared" si="25"/>
        <v>#DIV/0!</v>
      </c>
      <c r="V81" s="24" t="e">
        <f t="shared" si="26"/>
        <v>#VALUE!</v>
      </c>
      <c r="W81" s="24" t="e">
        <f t="shared" si="27"/>
        <v>#DIV/0!</v>
      </c>
      <c r="X81" s="24" t="e">
        <f t="shared" si="28"/>
        <v>#DIV/0!</v>
      </c>
      <c r="Y81" s="24" t="e">
        <f t="shared" si="29"/>
        <v>#VALUE!</v>
      </c>
      <c r="Z81" s="24" t="e">
        <f t="shared" si="30"/>
        <v>#DIV/0!</v>
      </c>
      <c r="AA81" s="24" t="e">
        <f t="shared" si="31"/>
        <v>#DIV/0!</v>
      </c>
      <c r="AB81" s="24" t="e">
        <f t="shared" si="32"/>
        <v>#VALUE!</v>
      </c>
      <c r="AC81" s="24" t="e">
        <f t="shared" si="33"/>
        <v>#DIV/0!</v>
      </c>
      <c r="AD81" s="24" t="e">
        <f t="shared" si="34"/>
        <v>#DIV/0!</v>
      </c>
    </row>
    <row r="82" spans="3:30" x14ac:dyDescent="0.2">
      <c r="C82" s="79"/>
      <c r="D82" s="82"/>
      <c r="E82" s="85"/>
      <c r="F82" s="88"/>
      <c r="G82" s="52" t="s">
        <v>70</v>
      </c>
      <c r="H82" s="52" t="s">
        <v>71</v>
      </c>
      <c r="I82" s="53" t="s">
        <v>72</v>
      </c>
      <c r="J82" s="53" t="s">
        <v>73</v>
      </c>
      <c r="K82" s="53" t="s">
        <v>74</v>
      </c>
      <c r="L82" s="53" t="s">
        <v>75</v>
      </c>
      <c r="M82" s="53" t="s">
        <v>76</v>
      </c>
      <c r="N82" s="52" t="s">
        <v>77</v>
      </c>
      <c r="O82" s="52" t="s">
        <v>78</v>
      </c>
      <c r="P82" s="52" t="s">
        <v>79</v>
      </c>
      <c r="Q82" s="52" t="s">
        <v>80</v>
      </c>
      <c r="R82" s="52" t="s">
        <v>81</v>
      </c>
      <c r="S82" s="24" t="e">
        <f t="shared" si="23"/>
        <v>#VALUE!</v>
      </c>
      <c r="T82" s="24" t="e">
        <f t="shared" si="24"/>
        <v>#VALUE!</v>
      </c>
      <c r="U82" s="24" t="e">
        <f t="shared" si="25"/>
        <v>#VALUE!</v>
      </c>
      <c r="V82" s="24" t="e">
        <f t="shared" si="26"/>
        <v>#VALUE!</v>
      </c>
      <c r="W82" s="24" t="e">
        <f t="shared" si="27"/>
        <v>#VALUE!</v>
      </c>
      <c r="X82" s="24" t="e">
        <f t="shared" si="28"/>
        <v>#VALUE!</v>
      </c>
      <c r="Y82" s="24" t="e">
        <f t="shared" si="29"/>
        <v>#VALUE!</v>
      </c>
      <c r="Z82" s="24" t="e">
        <f t="shared" si="30"/>
        <v>#VALUE!</v>
      </c>
      <c r="AA82" s="24" t="e">
        <f t="shared" si="31"/>
        <v>#VALUE!</v>
      </c>
      <c r="AB82" s="24" t="e">
        <f t="shared" si="32"/>
        <v>#VALUE!</v>
      </c>
      <c r="AC82" s="24" t="e">
        <f t="shared" si="33"/>
        <v>#VALUE!</v>
      </c>
      <c r="AD82" s="24" t="e">
        <f t="shared" si="34"/>
        <v>#VALUE!</v>
      </c>
    </row>
    <row r="83" spans="3:30" ht="24.75" x14ac:dyDescent="0.2">
      <c r="C83" s="56" t="s">
        <v>185</v>
      </c>
      <c r="D83" s="56" t="s">
        <v>186</v>
      </c>
      <c r="E83" s="57">
        <v>746310000</v>
      </c>
      <c r="F83" s="57">
        <v>746310000</v>
      </c>
      <c r="G83" s="62">
        <v>0</v>
      </c>
      <c r="H83" s="62">
        <v>0</v>
      </c>
      <c r="I83" s="57">
        <v>191700000</v>
      </c>
      <c r="J83" s="57">
        <v>41905000</v>
      </c>
      <c r="K83" s="57">
        <v>21150000</v>
      </c>
      <c r="L83" s="57">
        <v>12510000</v>
      </c>
      <c r="M83" s="57">
        <v>100500000</v>
      </c>
      <c r="N83" s="57">
        <v>155865000</v>
      </c>
      <c r="O83" s="57">
        <v>135640000</v>
      </c>
      <c r="P83" s="57">
        <v>38740000</v>
      </c>
      <c r="Q83" s="57">
        <v>48300000</v>
      </c>
      <c r="R83" s="62">
        <v>0</v>
      </c>
      <c r="S83" s="24">
        <f t="shared" si="23"/>
        <v>0</v>
      </c>
      <c r="T83" s="24">
        <f t="shared" si="24"/>
        <v>0</v>
      </c>
      <c r="U83" s="24">
        <f t="shared" si="25"/>
        <v>25.686376974715603</v>
      </c>
      <c r="V83" s="24">
        <f t="shared" si="26"/>
        <v>5.6149589312752077</v>
      </c>
      <c r="W83" s="24">
        <f t="shared" si="27"/>
        <v>2.8339429995578245</v>
      </c>
      <c r="X83" s="24">
        <f t="shared" si="28"/>
        <v>1.6762471359086706</v>
      </c>
      <c r="Y83" s="24">
        <f t="shared" si="29"/>
        <v>13.466253969530086</v>
      </c>
      <c r="Z83" s="24">
        <f t="shared" si="30"/>
        <v>20.884752984684649</v>
      </c>
      <c r="AA83" s="24">
        <f t="shared" si="31"/>
        <v>18.174753118677227</v>
      </c>
      <c r="AB83" s="24">
        <f t="shared" si="32"/>
        <v>5.1908724256676173</v>
      </c>
      <c r="AC83" s="24">
        <f t="shared" si="33"/>
        <v>6.4718414599831169</v>
      </c>
      <c r="AD83" s="24">
        <f t="shared" si="34"/>
        <v>0</v>
      </c>
    </row>
    <row r="84" spans="3:30" x14ac:dyDescent="0.2">
      <c r="C84" s="63" t="s">
        <v>187</v>
      </c>
      <c r="D84" s="63" t="s">
        <v>188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24" t="e">
        <f t="shared" si="23"/>
        <v>#DIV/0!</v>
      </c>
      <c r="T84" s="24" t="e">
        <f t="shared" si="24"/>
        <v>#DIV/0!</v>
      </c>
      <c r="U84" s="24" t="e">
        <f t="shared" si="25"/>
        <v>#DIV/0!</v>
      </c>
      <c r="V84" s="24" t="e">
        <f t="shared" si="26"/>
        <v>#DIV/0!</v>
      </c>
      <c r="W84" s="24" t="e">
        <f t="shared" si="27"/>
        <v>#DIV/0!</v>
      </c>
      <c r="X84" s="24" t="e">
        <f t="shared" si="28"/>
        <v>#DIV/0!</v>
      </c>
      <c r="Y84" s="24" t="e">
        <f t="shared" si="29"/>
        <v>#DIV/0!</v>
      </c>
      <c r="Z84" s="24" t="e">
        <f t="shared" si="30"/>
        <v>#DIV/0!</v>
      </c>
      <c r="AA84" s="24" t="e">
        <f t="shared" si="31"/>
        <v>#DIV/0!</v>
      </c>
      <c r="AB84" s="24" t="e">
        <f t="shared" si="32"/>
        <v>#DIV/0!</v>
      </c>
      <c r="AC84" s="24" t="e">
        <f t="shared" si="33"/>
        <v>#DIV/0!</v>
      </c>
      <c r="AD84" s="24" t="e">
        <f t="shared" si="34"/>
        <v>#DIV/0!</v>
      </c>
    </row>
    <row r="85" spans="3:30" ht="24.75" x14ac:dyDescent="0.2">
      <c r="C85" s="63" t="s">
        <v>189</v>
      </c>
      <c r="D85" s="59" t="s">
        <v>190</v>
      </c>
      <c r="E85" s="65">
        <v>0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24" t="e">
        <f t="shared" si="23"/>
        <v>#DIV/0!</v>
      </c>
      <c r="T85" s="24" t="e">
        <f t="shared" si="24"/>
        <v>#DIV/0!</v>
      </c>
      <c r="U85" s="24" t="e">
        <f t="shared" si="25"/>
        <v>#DIV/0!</v>
      </c>
      <c r="V85" s="24" t="e">
        <f t="shared" si="26"/>
        <v>#DIV/0!</v>
      </c>
      <c r="W85" s="24" t="e">
        <f t="shared" si="27"/>
        <v>#DIV/0!</v>
      </c>
      <c r="X85" s="24" t="e">
        <f t="shared" si="28"/>
        <v>#DIV/0!</v>
      </c>
      <c r="Y85" s="24" t="e">
        <f t="shared" si="29"/>
        <v>#DIV/0!</v>
      </c>
      <c r="Z85" s="24" t="e">
        <f t="shared" si="30"/>
        <v>#DIV/0!</v>
      </c>
      <c r="AA85" s="24" t="e">
        <f t="shared" si="31"/>
        <v>#DIV/0!</v>
      </c>
      <c r="AB85" s="24" t="e">
        <f t="shared" si="32"/>
        <v>#DIV/0!</v>
      </c>
      <c r="AC85" s="24" t="e">
        <f t="shared" si="33"/>
        <v>#DIV/0!</v>
      </c>
      <c r="AD85" s="24" t="e">
        <f t="shared" si="34"/>
        <v>#DIV/0!</v>
      </c>
    </row>
    <row r="86" spans="3:30" ht="33" x14ac:dyDescent="0.2">
      <c r="C86" s="66" t="s">
        <v>191</v>
      </c>
      <c r="D86" s="59" t="s">
        <v>192</v>
      </c>
      <c r="E86" s="69">
        <v>735110000</v>
      </c>
      <c r="F86" s="69">
        <v>735110000</v>
      </c>
      <c r="G86" s="67">
        <v>0</v>
      </c>
      <c r="H86" s="67">
        <v>0</v>
      </c>
      <c r="I86" s="69">
        <v>191700000</v>
      </c>
      <c r="J86" s="69">
        <v>41905000</v>
      </c>
      <c r="K86" s="69">
        <v>21150000</v>
      </c>
      <c r="L86" s="69">
        <v>12510000</v>
      </c>
      <c r="M86" s="69">
        <v>100500000</v>
      </c>
      <c r="N86" s="69">
        <v>155865000</v>
      </c>
      <c r="O86" s="69">
        <v>135640000</v>
      </c>
      <c r="P86" s="69">
        <v>27540000</v>
      </c>
      <c r="Q86" s="69">
        <v>48300000</v>
      </c>
      <c r="R86" s="67">
        <v>0</v>
      </c>
      <c r="S86" s="24">
        <f t="shared" si="23"/>
        <v>0</v>
      </c>
      <c r="T86" s="24">
        <f t="shared" si="24"/>
        <v>0</v>
      </c>
      <c r="U86" s="24">
        <f t="shared" si="25"/>
        <v>26.077729863557835</v>
      </c>
      <c r="V86" s="24">
        <f t="shared" si="26"/>
        <v>5.7005074070547268</v>
      </c>
      <c r="W86" s="24">
        <f t="shared" si="27"/>
        <v>2.8771204309559111</v>
      </c>
      <c r="X86" s="24">
        <f t="shared" si="28"/>
        <v>1.7017861272462624</v>
      </c>
      <c r="Y86" s="24">
        <f t="shared" si="29"/>
        <v>13.671423324400431</v>
      </c>
      <c r="Z86" s="24">
        <f t="shared" si="30"/>
        <v>21.202949218484306</v>
      </c>
      <c r="AA86" s="24">
        <f t="shared" si="31"/>
        <v>18.451660295738055</v>
      </c>
      <c r="AB86" s="24">
        <f t="shared" si="32"/>
        <v>3.7463780930745059</v>
      </c>
      <c r="AC86" s="24">
        <f t="shared" si="33"/>
        <v>6.5704452394879684</v>
      </c>
      <c r="AD86" s="24">
        <f t="shared" si="34"/>
        <v>0</v>
      </c>
    </row>
    <row r="87" spans="3:30" ht="16.5" x14ac:dyDescent="0.2">
      <c r="C87" s="63" t="s">
        <v>193</v>
      </c>
      <c r="D87" s="63" t="s">
        <v>194</v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24" t="e">
        <f t="shared" si="23"/>
        <v>#DIV/0!</v>
      </c>
      <c r="T87" s="24" t="e">
        <f t="shared" si="24"/>
        <v>#DIV/0!</v>
      </c>
      <c r="U87" s="24" t="e">
        <f t="shared" si="25"/>
        <v>#DIV/0!</v>
      </c>
      <c r="V87" s="24" t="e">
        <f t="shared" si="26"/>
        <v>#DIV/0!</v>
      </c>
      <c r="W87" s="24" t="e">
        <f t="shared" si="27"/>
        <v>#DIV/0!</v>
      </c>
      <c r="X87" s="24" t="e">
        <f t="shared" si="28"/>
        <v>#DIV/0!</v>
      </c>
      <c r="Y87" s="24" t="e">
        <f t="shared" si="29"/>
        <v>#DIV/0!</v>
      </c>
      <c r="Z87" s="24" t="e">
        <f t="shared" si="30"/>
        <v>#DIV/0!</v>
      </c>
      <c r="AA87" s="24" t="e">
        <f t="shared" si="31"/>
        <v>#DIV/0!</v>
      </c>
      <c r="AB87" s="24" t="e">
        <f t="shared" si="32"/>
        <v>#DIV/0!</v>
      </c>
      <c r="AC87" s="24" t="e">
        <f t="shared" si="33"/>
        <v>#DIV/0!</v>
      </c>
      <c r="AD87" s="24" t="e">
        <f t="shared" si="34"/>
        <v>#DIV/0!</v>
      </c>
    </row>
    <row r="88" spans="3:30" ht="16.5" x14ac:dyDescent="0.2">
      <c r="C88" s="63" t="s">
        <v>195</v>
      </c>
      <c r="D88" s="59" t="s">
        <v>196</v>
      </c>
      <c r="E88" s="64">
        <v>11200000</v>
      </c>
      <c r="F88" s="64">
        <v>11200000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4">
        <v>11200000</v>
      </c>
      <c r="Q88" s="65">
        <v>0</v>
      </c>
      <c r="R88" s="65">
        <v>0</v>
      </c>
      <c r="S88" s="24">
        <f t="shared" si="23"/>
        <v>0</v>
      </c>
      <c r="T88" s="24">
        <f t="shared" si="24"/>
        <v>0</v>
      </c>
      <c r="U88" s="24">
        <f t="shared" si="25"/>
        <v>0</v>
      </c>
      <c r="V88" s="24">
        <f t="shared" si="26"/>
        <v>0</v>
      </c>
      <c r="W88" s="24">
        <f t="shared" si="27"/>
        <v>0</v>
      </c>
      <c r="X88" s="24">
        <f t="shared" si="28"/>
        <v>0</v>
      </c>
      <c r="Y88" s="24">
        <f t="shared" si="29"/>
        <v>0</v>
      </c>
      <c r="Z88" s="24">
        <f t="shared" si="30"/>
        <v>0</v>
      </c>
      <c r="AA88" s="24">
        <f t="shared" si="31"/>
        <v>0</v>
      </c>
      <c r="AB88" s="24">
        <f t="shared" si="32"/>
        <v>100</v>
      </c>
      <c r="AC88" s="24">
        <f t="shared" si="33"/>
        <v>0</v>
      </c>
      <c r="AD88" s="24">
        <f t="shared" si="34"/>
        <v>0</v>
      </c>
    </row>
    <row r="89" spans="3:30" ht="16.5" x14ac:dyDescent="0.2">
      <c r="C89" s="68" t="s">
        <v>197</v>
      </c>
      <c r="D89" s="59" t="s">
        <v>198</v>
      </c>
      <c r="E89" s="61">
        <v>29306613000</v>
      </c>
      <c r="F89" s="61">
        <v>29306613000</v>
      </c>
      <c r="G89" s="74">
        <v>0</v>
      </c>
      <c r="H89" s="61">
        <v>429691000</v>
      </c>
      <c r="I89" s="61">
        <v>10056000000</v>
      </c>
      <c r="J89" s="61">
        <v>11970000</v>
      </c>
      <c r="K89" s="61">
        <v>74050000</v>
      </c>
      <c r="L89" s="61">
        <v>91890000</v>
      </c>
      <c r="M89" s="61">
        <v>18441212000</v>
      </c>
      <c r="N89" s="61">
        <v>61940000</v>
      </c>
      <c r="O89" s="61">
        <v>73780000</v>
      </c>
      <c r="P89" s="61">
        <v>59150000</v>
      </c>
      <c r="Q89" s="61">
        <v>3780000</v>
      </c>
      <c r="R89" s="61">
        <v>3150000</v>
      </c>
      <c r="S89" s="24">
        <f t="shared" si="23"/>
        <v>0</v>
      </c>
      <c r="T89" s="24">
        <f t="shared" si="24"/>
        <v>1.4661912654321398</v>
      </c>
      <c r="U89" s="24">
        <f t="shared" si="25"/>
        <v>34.313074663387404</v>
      </c>
      <c r="V89" s="24">
        <f t="shared" si="26"/>
        <v>4.0844023838578686E-2</v>
      </c>
      <c r="W89" s="24">
        <f t="shared" si="27"/>
        <v>0.25267334713840867</v>
      </c>
      <c r="X89" s="24">
        <f t="shared" si="28"/>
        <v>0.31354697999390108</v>
      </c>
      <c r="Y89" s="24">
        <f t="shared" si="29"/>
        <v>62.925087931519073</v>
      </c>
      <c r="Z89" s="24">
        <f t="shared" si="30"/>
        <v>0.21135161541867697</v>
      </c>
      <c r="AA89" s="24">
        <f t="shared" si="31"/>
        <v>0.25175205336761364</v>
      </c>
      <c r="AB89" s="24">
        <f t="shared" si="32"/>
        <v>0.20183157978712862</v>
      </c>
      <c r="AC89" s="24">
        <f t="shared" si="33"/>
        <v>1.2898112791130111E-2</v>
      </c>
      <c r="AD89" s="24">
        <f t="shared" si="34"/>
        <v>1.0748427325941759E-2</v>
      </c>
    </row>
    <row r="90" spans="3:30" ht="24.75" x14ac:dyDescent="0.2">
      <c r="C90" s="63" t="s">
        <v>199</v>
      </c>
      <c r="D90" s="59" t="s">
        <v>200</v>
      </c>
      <c r="E90" s="64">
        <v>1822613000</v>
      </c>
      <c r="F90" s="64">
        <v>1822613000</v>
      </c>
      <c r="G90" s="65">
        <v>0</v>
      </c>
      <c r="H90" s="64">
        <v>429691000</v>
      </c>
      <c r="I90" s="64">
        <v>56000000</v>
      </c>
      <c r="J90" s="64">
        <v>11970000</v>
      </c>
      <c r="K90" s="64">
        <v>74050000</v>
      </c>
      <c r="L90" s="64">
        <v>91890000</v>
      </c>
      <c r="M90" s="64">
        <v>957212000</v>
      </c>
      <c r="N90" s="64">
        <v>61940000</v>
      </c>
      <c r="O90" s="64">
        <v>73780000</v>
      </c>
      <c r="P90" s="64">
        <v>59150000</v>
      </c>
      <c r="Q90" s="64">
        <v>3780000</v>
      </c>
      <c r="R90" s="64">
        <v>3150000</v>
      </c>
      <c r="S90" s="24">
        <f t="shared" si="23"/>
        <v>0</v>
      </c>
      <c r="T90" s="24">
        <f t="shared" si="24"/>
        <v>23.575547853548724</v>
      </c>
      <c r="U90" s="24">
        <f t="shared" si="25"/>
        <v>3.0725118277988801</v>
      </c>
      <c r="V90" s="24">
        <f t="shared" si="26"/>
        <v>0.65674940319201058</v>
      </c>
      <c r="W90" s="24">
        <f t="shared" si="27"/>
        <v>4.062848229437626</v>
      </c>
      <c r="X90" s="24">
        <f t="shared" si="28"/>
        <v>5.0416627117221262</v>
      </c>
      <c r="Y90" s="24">
        <f t="shared" si="29"/>
        <v>52.518664137696817</v>
      </c>
      <c r="Z90" s="24">
        <f t="shared" si="30"/>
        <v>3.3984175466761184</v>
      </c>
      <c r="AA90" s="24">
        <f t="shared" si="31"/>
        <v>4.0480343331250248</v>
      </c>
      <c r="AB90" s="24">
        <f t="shared" si="32"/>
        <v>3.2453406181125666</v>
      </c>
      <c r="AC90" s="24">
        <f t="shared" si="33"/>
        <v>0.2073945483764244</v>
      </c>
      <c r="AD90" s="24">
        <f t="shared" si="34"/>
        <v>0.172828790313687</v>
      </c>
    </row>
    <row r="91" spans="3:30" ht="24.75" x14ac:dyDescent="0.2">
      <c r="C91" s="63" t="s">
        <v>201</v>
      </c>
      <c r="D91" s="59" t="s">
        <v>202</v>
      </c>
      <c r="E91" s="64">
        <v>27484000000</v>
      </c>
      <c r="F91" s="64">
        <v>27484000000</v>
      </c>
      <c r="G91" s="65">
        <v>0</v>
      </c>
      <c r="H91" s="65">
        <v>0</v>
      </c>
      <c r="I91" s="64">
        <v>10000000000</v>
      </c>
      <c r="J91" s="65">
        <v>0</v>
      </c>
      <c r="K91" s="65">
        <v>0</v>
      </c>
      <c r="L91" s="65">
        <v>0</v>
      </c>
      <c r="M91" s="64">
        <v>17484000000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24">
        <f t="shared" si="23"/>
        <v>0</v>
      </c>
      <c r="T91" s="24">
        <f t="shared" si="24"/>
        <v>0</v>
      </c>
      <c r="U91" s="24">
        <f t="shared" si="25"/>
        <v>36.384805705137538</v>
      </c>
      <c r="V91" s="24">
        <f t="shared" si="26"/>
        <v>0</v>
      </c>
      <c r="W91" s="24">
        <f t="shared" si="27"/>
        <v>0</v>
      </c>
      <c r="X91" s="24">
        <f t="shared" si="28"/>
        <v>0</v>
      </c>
      <c r="Y91" s="24">
        <f t="shared" si="29"/>
        <v>63.615194294862462</v>
      </c>
      <c r="Z91" s="24">
        <f t="shared" si="30"/>
        <v>0</v>
      </c>
      <c r="AA91" s="24">
        <f t="shared" si="31"/>
        <v>0</v>
      </c>
      <c r="AB91" s="24">
        <f t="shared" si="32"/>
        <v>0</v>
      </c>
      <c r="AC91" s="24">
        <f t="shared" si="33"/>
        <v>0</v>
      </c>
      <c r="AD91" s="24">
        <f t="shared" si="34"/>
        <v>0</v>
      </c>
    </row>
    <row r="92" spans="3:30" ht="16.5" x14ac:dyDescent="0.2">
      <c r="C92" s="58">
        <v>38036</v>
      </c>
      <c r="D92" s="59" t="s">
        <v>203</v>
      </c>
      <c r="E92" s="57">
        <v>1000000000</v>
      </c>
      <c r="F92" s="57">
        <v>1000000000</v>
      </c>
      <c r="G92" s="62">
        <v>0</v>
      </c>
      <c r="H92" s="62">
        <v>0</v>
      </c>
      <c r="I92" s="57">
        <v>400000000</v>
      </c>
      <c r="J92" s="62">
        <v>0</v>
      </c>
      <c r="K92" s="62">
        <v>0</v>
      </c>
      <c r="L92" s="62">
        <v>0</v>
      </c>
      <c r="M92" s="62">
        <v>0</v>
      </c>
      <c r="N92" s="57">
        <v>600000000</v>
      </c>
      <c r="O92" s="62">
        <v>0</v>
      </c>
      <c r="P92" s="62">
        <v>0</v>
      </c>
      <c r="Q92" s="62">
        <v>0</v>
      </c>
      <c r="R92" s="62">
        <v>0</v>
      </c>
      <c r="S92" s="24">
        <f t="shared" si="23"/>
        <v>0</v>
      </c>
      <c r="T92" s="24">
        <f t="shared" si="24"/>
        <v>0</v>
      </c>
      <c r="U92" s="24">
        <f t="shared" si="25"/>
        <v>40</v>
      </c>
      <c r="V92" s="24">
        <f t="shared" si="26"/>
        <v>0</v>
      </c>
      <c r="W92" s="24">
        <f t="shared" si="27"/>
        <v>0</v>
      </c>
      <c r="X92" s="24">
        <f t="shared" si="28"/>
        <v>0</v>
      </c>
      <c r="Y92" s="24">
        <f t="shared" si="29"/>
        <v>0</v>
      </c>
      <c r="Z92" s="24">
        <f t="shared" si="30"/>
        <v>60</v>
      </c>
      <c r="AA92" s="24">
        <f t="shared" si="31"/>
        <v>0</v>
      </c>
      <c r="AB92" s="24">
        <f t="shared" si="32"/>
        <v>0</v>
      </c>
      <c r="AC92" s="24">
        <f t="shared" si="33"/>
        <v>0</v>
      </c>
      <c r="AD92" s="24">
        <f t="shared" si="34"/>
        <v>0</v>
      </c>
    </row>
    <row r="93" spans="3:30" ht="16.5" x14ac:dyDescent="0.2">
      <c r="C93" s="68" t="s">
        <v>204</v>
      </c>
      <c r="D93" s="59" t="s">
        <v>205</v>
      </c>
      <c r="E93" s="61">
        <v>1000000000</v>
      </c>
      <c r="F93" s="61">
        <v>1000000000</v>
      </c>
      <c r="G93" s="74">
        <v>0</v>
      </c>
      <c r="H93" s="74">
        <v>0</v>
      </c>
      <c r="I93" s="61">
        <v>400000000</v>
      </c>
      <c r="J93" s="74">
        <v>0</v>
      </c>
      <c r="K93" s="74">
        <v>0</v>
      </c>
      <c r="L93" s="74">
        <v>0</v>
      </c>
      <c r="M93" s="74">
        <v>0</v>
      </c>
      <c r="N93" s="61">
        <v>600000000</v>
      </c>
      <c r="O93" s="74">
        <v>0</v>
      </c>
      <c r="P93" s="74">
        <v>0</v>
      </c>
      <c r="Q93" s="74">
        <v>0</v>
      </c>
      <c r="R93" s="74">
        <v>0</v>
      </c>
      <c r="S93" s="24">
        <f t="shared" si="23"/>
        <v>0</v>
      </c>
      <c r="T93" s="24">
        <f t="shared" si="24"/>
        <v>0</v>
      </c>
      <c r="U93" s="24">
        <f t="shared" si="25"/>
        <v>40</v>
      </c>
      <c r="V93" s="24">
        <f t="shared" si="26"/>
        <v>0</v>
      </c>
      <c r="W93" s="24">
        <f t="shared" si="27"/>
        <v>0</v>
      </c>
      <c r="X93" s="24">
        <f t="shared" si="28"/>
        <v>0</v>
      </c>
      <c r="Y93" s="24">
        <f t="shared" si="29"/>
        <v>0</v>
      </c>
      <c r="Z93" s="24">
        <f t="shared" si="30"/>
        <v>60</v>
      </c>
      <c r="AA93" s="24">
        <f t="shared" si="31"/>
        <v>0</v>
      </c>
      <c r="AB93" s="24">
        <f t="shared" si="32"/>
        <v>0</v>
      </c>
      <c r="AC93" s="24">
        <f t="shared" si="33"/>
        <v>0</v>
      </c>
      <c r="AD93" s="24">
        <f t="shared" si="34"/>
        <v>0</v>
      </c>
    </row>
    <row r="94" spans="3:30" ht="16.5" x14ac:dyDescent="0.2">
      <c r="C94" s="63" t="s">
        <v>206</v>
      </c>
      <c r="D94" s="59" t="s">
        <v>207</v>
      </c>
      <c r="E94" s="64">
        <v>1000000000</v>
      </c>
      <c r="F94" s="64">
        <v>1000000000</v>
      </c>
      <c r="G94" s="65">
        <v>0</v>
      </c>
      <c r="H94" s="65">
        <v>0</v>
      </c>
      <c r="I94" s="64">
        <v>400000000</v>
      </c>
      <c r="J94" s="65">
        <v>0</v>
      </c>
      <c r="K94" s="65">
        <v>0</v>
      </c>
      <c r="L94" s="65">
        <v>0</v>
      </c>
      <c r="M94" s="65">
        <v>0</v>
      </c>
      <c r="N94" s="64">
        <v>600000000</v>
      </c>
      <c r="O94" s="65">
        <v>0</v>
      </c>
      <c r="P94" s="65">
        <v>0</v>
      </c>
      <c r="Q94" s="65">
        <v>0</v>
      </c>
      <c r="R94" s="65">
        <v>0</v>
      </c>
      <c r="S94" s="24">
        <f t="shared" si="23"/>
        <v>0</v>
      </c>
      <c r="T94" s="24">
        <f t="shared" si="24"/>
        <v>0</v>
      </c>
      <c r="U94" s="24">
        <f t="shared" si="25"/>
        <v>40</v>
      </c>
      <c r="V94" s="24">
        <f t="shared" si="26"/>
        <v>0</v>
      </c>
      <c r="W94" s="24">
        <f t="shared" si="27"/>
        <v>0</v>
      </c>
      <c r="X94" s="24">
        <f t="shared" si="28"/>
        <v>0</v>
      </c>
      <c r="Y94" s="24">
        <f t="shared" si="29"/>
        <v>0</v>
      </c>
      <c r="Z94" s="24">
        <f t="shared" si="30"/>
        <v>60</v>
      </c>
      <c r="AA94" s="24">
        <f t="shared" si="31"/>
        <v>0</v>
      </c>
      <c r="AB94" s="24">
        <f t="shared" si="32"/>
        <v>0</v>
      </c>
      <c r="AC94" s="24">
        <f t="shared" si="33"/>
        <v>0</v>
      </c>
      <c r="AD94" s="24">
        <f t="shared" si="34"/>
        <v>0</v>
      </c>
    </row>
    <row r="95" spans="3:30" ht="16.5" x14ac:dyDescent="0.2">
      <c r="C95" s="66" t="s">
        <v>208</v>
      </c>
      <c r="D95" s="59" t="s">
        <v>209</v>
      </c>
      <c r="E95" s="67">
        <v>0</v>
      </c>
      <c r="F95" s="67">
        <v>0</v>
      </c>
      <c r="G95" s="67">
        <v>0</v>
      </c>
      <c r="H95" s="67">
        <v>0</v>
      </c>
      <c r="I95" s="67">
        <v>0</v>
      </c>
      <c r="J95" s="67">
        <v>0</v>
      </c>
      <c r="K95" s="67">
        <v>0</v>
      </c>
      <c r="L95" s="67">
        <v>0</v>
      </c>
      <c r="M95" s="67">
        <v>0</v>
      </c>
      <c r="N95" s="67">
        <v>0</v>
      </c>
      <c r="O95" s="67">
        <v>0</v>
      </c>
      <c r="P95" s="67">
        <v>0</v>
      </c>
      <c r="Q95" s="67">
        <v>0</v>
      </c>
      <c r="R95" s="67">
        <v>0</v>
      </c>
      <c r="S95" s="24" t="e">
        <f t="shared" si="23"/>
        <v>#DIV/0!</v>
      </c>
      <c r="T95" s="24" t="e">
        <f t="shared" si="24"/>
        <v>#DIV/0!</v>
      </c>
      <c r="U95" s="24" t="e">
        <f t="shared" si="25"/>
        <v>#DIV/0!</v>
      </c>
      <c r="V95" s="24" t="e">
        <f t="shared" si="26"/>
        <v>#DIV/0!</v>
      </c>
      <c r="W95" s="24" t="e">
        <f t="shared" si="27"/>
        <v>#DIV/0!</v>
      </c>
      <c r="X95" s="24" t="e">
        <f t="shared" si="28"/>
        <v>#DIV/0!</v>
      </c>
      <c r="Y95" s="24" t="e">
        <f t="shared" si="29"/>
        <v>#DIV/0!</v>
      </c>
      <c r="Z95" s="24" t="e">
        <f t="shared" si="30"/>
        <v>#DIV/0!</v>
      </c>
      <c r="AA95" s="24" t="e">
        <f t="shared" si="31"/>
        <v>#DIV/0!</v>
      </c>
      <c r="AB95" s="24" t="e">
        <f t="shared" si="32"/>
        <v>#DIV/0!</v>
      </c>
      <c r="AC95" s="24" t="e">
        <f t="shared" si="33"/>
        <v>#DIV/0!</v>
      </c>
      <c r="AD95" s="24" t="e">
        <f t="shared" si="34"/>
        <v>#DIV/0!</v>
      </c>
    </row>
    <row r="96" spans="3:30" ht="16.5" x14ac:dyDescent="0.2">
      <c r="C96" s="66" t="s">
        <v>210</v>
      </c>
      <c r="D96" s="63" t="s">
        <v>211</v>
      </c>
      <c r="E96" s="67">
        <v>0</v>
      </c>
      <c r="F96" s="67">
        <v>0</v>
      </c>
      <c r="G96" s="67">
        <v>0</v>
      </c>
      <c r="H96" s="67">
        <v>0</v>
      </c>
      <c r="I96" s="67">
        <v>0</v>
      </c>
      <c r="J96" s="67">
        <v>0</v>
      </c>
      <c r="K96" s="67">
        <v>0</v>
      </c>
      <c r="L96" s="67">
        <v>0</v>
      </c>
      <c r="M96" s="67">
        <v>0</v>
      </c>
      <c r="N96" s="67">
        <v>0</v>
      </c>
      <c r="O96" s="67">
        <v>0</v>
      </c>
      <c r="P96" s="67">
        <v>0</v>
      </c>
      <c r="Q96" s="67">
        <v>0</v>
      </c>
      <c r="R96" s="67">
        <v>0</v>
      </c>
      <c r="S96" s="24" t="e">
        <f t="shared" si="23"/>
        <v>#DIV/0!</v>
      </c>
      <c r="T96" s="24" t="e">
        <f t="shared" si="24"/>
        <v>#DIV/0!</v>
      </c>
      <c r="U96" s="24" t="e">
        <f t="shared" si="25"/>
        <v>#DIV/0!</v>
      </c>
      <c r="V96" s="24" t="e">
        <f t="shared" si="26"/>
        <v>#DIV/0!</v>
      </c>
      <c r="W96" s="24" t="e">
        <f t="shared" si="27"/>
        <v>#DIV/0!</v>
      </c>
      <c r="X96" s="24" t="e">
        <f t="shared" si="28"/>
        <v>#DIV/0!</v>
      </c>
      <c r="Y96" s="24" t="e">
        <f t="shared" si="29"/>
        <v>#DIV/0!</v>
      </c>
      <c r="Z96" s="24" t="e">
        <f t="shared" si="30"/>
        <v>#DIV/0!</v>
      </c>
      <c r="AA96" s="24" t="e">
        <f t="shared" si="31"/>
        <v>#DIV/0!</v>
      </c>
      <c r="AB96" s="24" t="e">
        <f t="shared" si="32"/>
        <v>#DIV/0!</v>
      </c>
      <c r="AC96" s="24" t="e">
        <f t="shared" si="33"/>
        <v>#DIV/0!</v>
      </c>
      <c r="AD96" s="24" t="e">
        <f t="shared" si="34"/>
        <v>#DIV/0!</v>
      </c>
    </row>
    <row r="97" spans="2:30" ht="16.5" x14ac:dyDescent="0.2">
      <c r="C97" s="54" t="s">
        <v>212</v>
      </c>
      <c r="D97" s="54" t="s">
        <v>213</v>
      </c>
      <c r="E97" s="55">
        <v>3556550261</v>
      </c>
      <c r="F97" s="55">
        <v>3556550261</v>
      </c>
      <c r="G97" s="55">
        <v>295037494</v>
      </c>
      <c r="H97" s="55">
        <v>349604440</v>
      </c>
      <c r="I97" s="55">
        <v>300851781</v>
      </c>
      <c r="J97" s="55">
        <v>306112994</v>
      </c>
      <c r="K97" s="55">
        <v>310687994</v>
      </c>
      <c r="L97" s="55">
        <v>247362994</v>
      </c>
      <c r="M97" s="55">
        <v>280177094</v>
      </c>
      <c r="N97" s="55">
        <v>309487994</v>
      </c>
      <c r="O97" s="55">
        <v>303712994</v>
      </c>
      <c r="P97" s="55">
        <v>310687994</v>
      </c>
      <c r="Q97" s="55">
        <v>413437994</v>
      </c>
      <c r="R97" s="55">
        <v>129388494</v>
      </c>
      <c r="S97" s="24">
        <f t="shared" si="23"/>
        <v>8.2956087317333136</v>
      </c>
      <c r="T97" s="24">
        <f t="shared" si="24"/>
        <v>9.8298748603007589</v>
      </c>
      <c r="U97" s="24">
        <f t="shared" si="25"/>
        <v>8.4590898179914689</v>
      </c>
      <c r="V97" s="24">
        <f t="shared" si="26"/>
        <v>8.6070200485211128</v>
      </c>
      <c r="W97" s="24">
        <f t="shared" si="27"/>
        <v>8.7356559362285928</v>
      </c>
      <c r="X97" s="24">
        <f t="shared" si="28"/>
        <v>6.9551384304196118</v>
      </c>
      <c r="Y97" s="24">
        <f t="shared" si="29"/>
        <v>7.8777768747522829</v>
      </c>
      <c r="Z97" s="24">
        <f t="shared" si="30"/>
        <v>8.7019153755184355</v>
      </c>
      <c r="AA97" s="24">
        <f t="shared" si="31"/>
        <v>8.5395389271007964</v>
      </c>
      <c r="AB97" s="24">
        <f t="shared" si="32"/>
        <v>8.7356559362285928</v>
      </c>
      <c r="AC97" s="24">
        <f t="shared" si="33"/>
        <v>11.6246914470359</v>
      </c>
      <c r="AD97" s="24">
        <f t="shared" si="34"/>
        <v>3.6380336141691316</v>
      </c>
    </row>
    <row r="98" spans="2:30" ht="24.75" x14ac:dyDescent="0.2">
      <c r="B98" s="54" t="s">
        <v>212</v>
      </c>
      <c r="C98" s="68" t="s">
        <v>41</v>
      </c>
      <c r="D98" s="59" t="s">
        <v>42</v>
      </c>
      <c r="E98" s="61">
        <v>3556550261</v>
      </c>
      <c r="F98" s="61">
        <v>3556550261</v>
      </c>
      <c r="G98" s="61">
        <v>295037494</v>
      </c>
      <c r="H98" s="61">
        <v>349604440</v>
      </c>
      <c r="I98" s="61">
        <v>300851781</v>
      </c>
      <c r="J98" s="61">
        <v>306112994</v>
      </c>
      <c r="K98" s="61">
        <v>310687994</v>
      </c>
      <c r="L98" s="61">
        <v>247362994</v>
      </c>
      <c r="M98" s="61">
        <v>280177094</v>
      </c>
      <c r="N98" s="61">
        <v>309487994</v>
      </c>
      <c r="O98" s="61">
        <v>303712994</v>
      </c>
      <c r="P98" s="61">
        <v>310687994</v>
      </c>
      <c r="Q98" s="61">
        <v>413437994</v>
      </c>
      <c r="R98" s="61">
        <v>129388494</v>
      </c>
      <c r="S98" s="24">
        <f t="shared" si="23"/>
        <v>8.2956087317333136</v>
      </c>
      <c r="T98" s="24">
        <f t="shared" si="24"/>
        <v>9.8298748603007589</v>
      </c>
      <c r="U98" s="24">
        <f t="shared" si="25"/>
        <v>8.4590898179914689</v>
      </c>
      <c r="V98" s="24">
        <f t="shared" si="26"/>
        <v>8.6070200485211128</v>
      </c>
      <c r="W98" s="24">
        <f t="shared" si="27"/>
        <v>8.7356559362285928</v>
      </c>
      <c r="X98" s="24">
        <f t="shared" si="28"/>
        <v>6.9551384304196118</v>
      </c>
      <c r="Y98" s="24">
        <f t="shared" si="29"/>
        <v>7.8777768747522829</v>
      </c>
      <c r="Z98" s="24">
        <f t="shared" si="30"/>
        <v>8.7019153755184355</v>
      </c>
      <c r="AA98" s="24">
        <f t="shared" si="31"/>
        <v>8.5395389271007964</v>
      </c>
      <c r="AB98" s="24">
        <f t="shared" si="32"/>
        <v>8.7356559362285928</v>
      </c>
      <c r="AC98" s="24">
        <f t="shared" si="33"/>
        <v>11.6246914470359</v>
      </c>
      <c r="AD98" s="24">
        <f t="shared" si="34"/>
        <v>3.6380336141691316</v>
      </c>
    </row>
    <row r="99" spans="2:30" ht="33" x14ac:dyDescent="0.2">
      <c r="B99" s="54" t="s">
        <v>212</v>
      </c>
      <c r="C99" s="58">
        <v>36941</v>
      </c>
      <c r="D99" s="59" t="s">
        <v>43</v>
      </c>
      <c r="E99" s="57">
        <v>709595628</v>
      </c>
      <c r="F99" s="57">
        <v>709595628</v>
      </c>
      <c r="G99" s="57">
        <v>52837494</v>
      </c>
      <c r="H99" s="57">
        <v>85699807</v>
      </c>
      <c r="I99" s="57">
        <v>102976781</v>
      </c>
      <c r="J99" s="57">
        <v>52362994</v>
      </c>
      <c r="K99" s="57">
        <v>49962994</v>
      </c>
      <c r="L99" s="57">
        <v>51362994</v>
      </c>
      <c r="M99" s="57">
        <v>65652094</v>
      </c>
      <c r="N99" s="57">
        <v>49962994</v>
      </c>
      <c r="O99" s="57">
        <v>49962994</v>
      </c>
      <c r="P99" s="57">
        <v>49962994</v>
      </c>
      <c r="Q99" s="57">
        <v>49962994</v>
      </c>
      <c r="R99" s="57">
        <v>48888494</v>
      </c>
      <c r="S99" s="24">
        <f t="shared" si="23"/>
        <v>7.4461414240844226</v>
      </c>
      <c r="T99" s="24">
        <f t="shared" si="24"/>
        <v>12.077273818829109</v>
      </c>
      <c r="U99" s="24">
        <f t="shared" si="25"/>
        <v>14.512037128842062</v>
      </c>
      <c r="V99" s="24">
        <f t="shared" si="26"/>
        <v>7.3792723536904319</v>
      </c>
      <c r="W99" s="24">
        <f t="shared" si="27"/>
        <v>7.0410515550696147</v>
      </c>
      <c r="X99" s="24">
        <f t="shared" si="28"/>
        <v>7.2383470209317586</v>
      </c>
      <c r="Y99" s="24">
        <f t="shared" si="29"/>
        <v>9.252043193253721</v>
      </c>
      <c r="Z99" s="24">
        <f t="shared" si="30"/>
        <v>7.0410515550696147</v>
      </c>
      <c r="AA99" s="24">
        <f t="shared" si="31"/>
        <v>7.0410515550696147</v>
      </c>
      <c r="AB99" s="24">
        <f t="shared" si="32"/>
        <v>7.0410515550696147</v>
      </c>
      <c r="AC99" s="24">
        <f t="shared" si="33"/>
        <v>7.0410515550696147</v>
      </c>
      <c r="AD99" s="24">
        <f t="shared" si="34"/>
        <v>6.8896272850204205</v>
      </c>
    </row>
    <row r="100" spans="2:30" ht="16.5" x14ac:dyDescent="0.2">
      <c r="B100" s="54" t="s">
        <v>212</v>
      </c>
      <c r="C100" s="56" t="s">
        <v>110</v>
      </c>
      <c r="D100" s="56" t="s">
        <v>111</v>
      </c>
      <c r="E100" s="57">
        <v>27995500</v>
      </c>
      <c r="F100" s="57">
        <v>27995500</v>
      </c>
      <c r="G100" s="57">
        <v>270000</v>
      </c>
      <c r="H100" s="57">
        <v>6117050</v>
      </c>
      <c r="I100" s="57">
        <v>15279350</v>
      </c>
      <c r="J100" s="57">
        <v>2670000</v>
      </c>
      <c r="K100" s="57">
        <v>270000</v>
      </c>
      <c r="L100" s="57">
        <v>270000</v>
      </c>
      <c r="M100" s="57">
        <v>1769100</v>
      </c>
      <c r="N100" s="57">
        <v>270000</v>
      </c>
      <c r="O100" s="57">
        <v>270000</v>
      </c>
      <c r="P100" s="57">
        <v>270000</v>
      </c>
      <c r="Q100" s="57">
        <v>270000</v>
      </c>
      <c r="R100" s="57">
        <v>270000</v>
      </c>
      <c r="S100" s="24">
        <f t="shared" si="23"/>
        <v>0.96444071368612816</v>
      </c>
      <c r="T100" s="24">
        <f t="shared" si="24"/>
        <v>21.850118769087889</v>
      </c>
      <c r="U100" s="24">
        <f t="shared" si="25"/>
        <v>54.57787858763016</v>
      </c>
      <c r="V100" s="24">
        <f t="shared" si="26"/>
        <v>9.5372470575628228</v>
      </c>
      <c r="W100" s="24">
        <f t="shared" si="27"/>
        <v>0.96444071368612816</v>
      </c>
      <c r="X100" s="24">
        <f t="shared" si="28"/>
        <v>0.96444071368612816</v>
      </c>
      <c r="Y100" s="24">
        <f t="shared" si="29"/>
        <v>6.319229876230108</v>
      </c>
      <c r="Z100" s="24">
        <f t="shared" si="30"/>
        <v>0.96444071368612816</v>
      </c>
      <c r="AA100" s="24">
        <f t="shared" si="31"/>
        <v>0.96444071368612816</v>
      </c>
      <c r="AB100" s="24">
        <f t="shared" si="32"/>
        <v>0.96444071368612816</v>
      </c>
      <c r="AC100" s="24">
        <f t="shared" si="33"/>
        <v>0.96444071368612816</v>
      </c>
      <c r="AD100" s="24">
        <f t="shared" si="34"/>
        <v>0.96444071368612816</v>
      </c>
    </row>
    <row r="101" spans="2:30" x14ac:dyDescent="0.2">
      <c r="B101" s="54" t="s">
        <v>212</v>
      </c>
      <c r="C101" s="77" t="s">
        <v>60</v>
      </c>
      <c r="D101" s="80" t="s">
        <v>61</v>
      </c>
      <c r="E101" s="83" t="s">
        <v>62</v>
      </c>
      <c r="F101" s="86" t="s">
        <v>63</v>
      </c>
      <c r="G101" s="51" t="s">
        <v>64</v>
      </c>
      <c r="H101" s="75"/>
      <c r="I101" s="75"/>
      <c r="J101" s="75"/>
      <c r="K101" s="75"/>
      <c r="L101" s="76"/>
      <c r="M101" s="51" t="s">
        <v>65</v>
      </c>
      <c r="N101" s="75"/>
      <c r="O101" s="75"/>
      <c r="P101" s="75"/>
      <c r="Q101" s="75"/>
      <c r="R101" s="76"/>
      <c r="S101" s="24" t="e">
        <f t="shared" si="23"/>
        <v>#VALUE!</v>
      </c>
      <c r="T101" s="24" t="e">
        <f t="shared" si="24"/>
        <v>#VALUE!</v>
      </c>
      <c r="U101" s="24" t="e">
        <f t="shared" si="25"/>
        <v>#VALUE!</v>
      </c>
      <c r="V101" s="24" t="e">
        <f t="shared" si="26"/>
        <v>#VALUE!</v>
      </c>
      <c r="W101" s="24" t="e">
        <f t="shared" si="27"/>
        <v>#VALUE!</v>
      </c>
      <c r="X101" s="24" t="e">
        <f t="shared" si="28"/>
        <v>#VALUE!</v>
      </c>
      <c r="Y101" s="24" t="e">
        <f t="shared" si="29"/>
        <v>#VALUE!</v>
      </c>
      <c r="Z101" s="24" t="e">
        <f t="shared" si="30"/>
        <v>#VALUE!</v>
      </c>
      <c r="AA101" s="24" t="e">
        <f t="shared" si="31"/>
        <v>#VALUE!</v>
      </c>
      <c r="AB101" s="24" t="e">
        <f t="shared" si="32"/>
        <v>#VALUE!</v>
      </c>
      <c r="AC101" s="24" t="e">
        <f t="shared" si="33"/>
        <v>#VALUE!</v>
      </c>
      <c r="AD101" s="24" t="e">
        <f t="shared" si="34"/>
        <v>#VALUE!</v>
      </c>
    </row>
    <row r="102" spans="2:30" x14ac:dyDescent="0.2">
      <c r="B102" s="54" t="s">
        <v>212</v>
      </c>
      <c r="C102" s="78"/>
      <c r="D102" s="81"/>
      <c r="E102" s="84"/>
      <c r="F102" s="87"/>
      <c r="G102" s="51" t="s">
        <v>66</v>
      </c>
      <c r="H102" s="75"/>
      <c r="I102" s="76"/>
      <c r="J102" s="51" t="s">
        <v>67</v>
      </c>
      <c r="K102" s="75"/>
      <c r="L102" s="76"/>
      <c r="M102" s="51" t="s">
        <v>68</v>
      </c>
      <c r="N102" s="75"/>
      <c r="O102" s="76"/>
      <c r="P102" s="51" t="s">
        <v>69</v>
      </c>
      <c r="Q102" s="75"/>
      <c r="R102" s="76"/>
      <c r="S102" s="24" t="e">
        <f t="shared" si="23"/>
        <v>#VALUE!</v>
      </c>
      <c r="T102" s="24" t="e">
        <f t="shared" si="24"/>
        <v>#DIV/0!</v>
      </c>
      <c r="U102" s="24" t="e">
        <f t="shared" si="25"/>
        <v>#DIV/0!</v>
      </c>
      <c r="V102" s="24" t="e">
        <f t="shared" si="26"/>
        <v>#VALUE!</v>
      </c>
      <c r="W102" s="24" t="e">
        <f t="shared" si="27"/>
        <v>#DIV/0!</v>
      </c>
      <c r="X102" s="24" t="e">
        <f t="shared" si="28"/>
        <v>#DIV/0!</v>
      </c>
      <c r="Y102" s="24" t="e">
        <f t="shared" si="29"/>
        <v>#VALUE!</v>
      </c>
      <c r="Z102" s="24" t="e">
        <f t="shared" si="30"/>
        <v>#DIV/0!</v>
      </c>
      <c r="AA102" s="24" t="e">
        <f t="shared" si="31"/>
        <v>#DIV/0!</v>
      </c>
      <c r="AB102" s="24" t="e">
        <f t="shared" si="32"/>
        <v>#VALUE!</v>
      </c>
      <c r="AC102" s="24" t="e">
        <f t="shared" si="33"/>
        <v>#DIV/0!</v>
      </c>
      <c r="AD102" s="24" t="e">
        <f t="shared" si="34"/>
        <v>#DIV/0!</v>
      </c>
    </row>
    <row r="103" spans="2:30" x14ac:dyDescent="0.2">
      <c r="B103" s="54" t="s">
        <v>212</v>
      </c>
      <c r="C103" s="79"/>
      <c r="D103" s="82"/>
      <c r="E103" s="85"/>
      <c r="F103" s="88"/>
      <c r="G103" s="52" t="s">
        <v>70</v>
      </c>
      <c r="H103" s="52" t="s">
        <v>71</v>
      </c>
      <c r="I103" s="53" t="s">
        <v>72</v>
      </c>
      <c r="J103" s="53" t="s">
        <v>73</v>
      </c>
      <c r="K103" s="53" t="s">
        <v>74</v>
      </c>
      <c r="L103" s="53" t="s">
        <v>75</v>
      </c>
      <c r="M103" s="53" t="s">
        <v>76</v>
      </c>
      <c r="N103" s="52" t="s">
        <v>77</v>
      </c>
      <c r="O103" s="52" t="s">
        <v>78</v>
      </c>
      <c r="P103" s="52" t="s">
        <v>79</v>
      </c>
      <c r="Q103" s="52" t="s">
        <v>80</v>
      </c>
      <c r="R103" s="52" t="s">
        <v>81</v>
      </c>
      <c r="S103" s="24" t="e">
        <f t="shared" si="23"/>
        <v>#VALUE!</v>
      </c>
      <c r="T103" s="24" t="e">
        <f t="shared" si="24"/>
        <v>#VALUE!</v>
      </c>
      <c r="U103" s="24" t="e">
        <f t="shared" si="25"/>
        <v>#VALUE!</v>
      </c>
      <c r="V103" s="24" t="e">
        <f t="shared" si="26"/>
        <v>#VALUE!</v>
      </c>
      <c r="W103" s="24" t="e">
        <f t="shared" si="27"/>
        <v>#VALUE!</v>
      </c>
      <c r="X103" s="24" t="e">
        <f t="shared" si="28"/>
        <v>#VALUE!</v>
      </c>
      <c r="Y103" s="24" t="e">
        <f t="shared" si="29"/>
        <v>#VALUE!</v>
      </c>
      <c r="Z103" s="24" t="e">
        <f t="shared" si="30"/>
        <v>#VALUE!</v>
      </c>
      <c r="AA103" s="24" t="e">
        <f t="shared" si="31"/>
        <v>#VALUE!</v>
      </c>
      <c r="AB103" s="24" t="e">
        <f t="shared" si="32"/>
        <v>#VALUE!</v>
      </c>
      <c r="AC103" s="24" t="e">
        <f t="shared" si="33"/>
        <v>#VALUE!</v>
      </c>
      <c r="AD103" s="24" t="e">
        <f t="shared" si="34"/>
        <v>#VALUE!</v>
      </c>
    </row>
    <row r="104" spans="2:30" ht="16.5" x14ac:dyDescent="0.2">
      <c r="B104" s="54" t="s">
        <v>212</v>
      </c>
      <c r="C104" s="63" t="s">
        <v>112</v>
      </c>
      <c r="D104" s="63" t="s">
        <v>214</v>
      </c>
      <c r="E104" s="64">
        <v>10108000</v>
      </c>
      <c r="F104" s="64">
        <v>10108000</v>
      </c>
      <c r="G104" s="65">
        <v>0</v>
      </c>
      <c r="H104" s="65">
        <v>0</v>
      </c>
      <c r="I104" s="64">
        <v>10108000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24">
        <f t="shared" si="23"/>
        <v>0</v>
      </c>
      <c r="T104" s="24">
        <f t="shared" si="24"/>
        <v>0</v>
      </c>
      <c r="U104" s="24">
        <f t="shared" si="25"/>
        <v>100</v>
      </c>
      <c r="V104" s="24">
        <f t="shared" si="26"/>
        <v>0</v>
      </c>
      <c r="W104" s="24">
        <f t="shared" si="27"/>
        <v>0</v>
      </c>
      <c r="X104" s="24">
        <f t="shared" si="28"/>
        <v>0</v>
      </c>
      <c r="Y104" s="24">
        <f t="shared" si="29"/>
        <v>0</v>
      </c>
      <c r="Z104" s="24">
        <f t="shared" si="30"/>
        <v>0</v>
      </c>
      <c r="AA104" s="24">
        <f t="shared" si="31"/>
        <v>0</v>
      </c>
      <c r="AB104" s="24">
        <f t="shared" si="32"/>
        <v>0</v>
      </c>
      <c r="AC104" s="24">
        <f t="shared" si="33"/>
        <v>0</v>
      </c>
      <c r="AD104" s="24">
        <f t="shared" si="34"/>
        <v>0</v>
      </c>
    </row>
    <row r="105" spans="2:30" ht="16.5" x14ac:dyDescent="0.2">
      <c r="B105" s="54" t="s">
        <v>212</v>
      </c>
      <c r="C105" s="63" t="s">
        <v>114</v>
      </c>
      <c r="D105" s="59" t="s">
        <v>215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24" t="e">
        <f t="shared" si="23"/>
        <v>#DIV/0!</v>
      </c>
      <c r="T105" s="24" t="e">
        <f t="shared" si="24"/>
        <v>#DIV/0!</v>
      </c>
      <c r="U105" s="24" t="e">
        <f t="shared" si="25"/>
        <v>#DIV/0!</v>
      </c>
      <c r="V105" s="24" t="e">
        <f t="shared" si="26"/>
        <v>#DIV/0!</v>
      </c>
      <c r="W105" s="24" t="e">
        <f t="shared" si="27"/>
        <v>#DIV/0!</v>
      </c>
      <c r="X105" s="24" t="e">
        <f t="shared" si="28"/>
        <v>#DIV/0!</v>
      </c>
      <c r="Y105" s="24" t="e">
        <f t="shared" si="29"/>
        <v>#DIV/0!</v>
      </c>
      <c r="Z105" s="24" t="e">
        <f t="shared" si="30"/>
        <v>#DIV/0!</v>
      </c>
      <c r="AA105" s="24" t="e">
        <f t="shared" si="31"/>
        <v>#DIV/0!</v>
      </c>
      <c r="AB105" s="24" t="e">
        <f t="shared" si="32"/>
        <v>#DIV/0!</v>
      </c>
      <c r="AC105" s="24" t="e">
        <f t="shared" si="33"/>
        <v>#DIV/0!</v>
      </c>
      <c r="AD105" s="24" t="e">
        <f t="shared" si="34"/>
        <v>#DIV/0!</v>
      </c>
    </row>
    <row r="106" spans="2:30" x14ac:dyDescent="0.2">
      <c r="B106" s="54" t="s">
        <v>212</v>
      </c>
      <c r="C106" s="63" t="s">
        <v>118</v>
      </c>
      <c r="D106" s="63" t="s">
        <v>119</v>
      </c>
      <c r="E106" s="64">
        <v>9648400</v>
      </c>
      <c r="F106" s="64">
        <v>9648400</v>
      </c>
      <c r="G106" s="65">
        <v>0</v>
      </c>
      <c r="H106" s="64">
        <v>2347050</v>
      </c>
      <c r="I106" s="64">
        <v>4901350</v>
      </c>
      <c r="J106" s="64">
        <v>2400000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24">
        <f t="shared" si="23"/>
        <v>0</v>
      </c>
      <c r="T106" s="24">
        <f t="shared" si="24"/>
        <v>24.325794950458107</v>
      </c>
      <c r="U106" s="24">
        <f t="shared" si="25"/>
        <v>50.799614443845606</v>
      </c>
      <c r="V106" s="24">
        <f t="shared" si="26"/>
        <v>24.87459060569628</v>
      </c>
      <c r="W106" s="24">
        <f t="shared" si="27"/>
        <v>0</v>
      </c>
      <c r="X106" s="24">
        <f t="shared" si="28"/>
        <v>0</v>
      </c>
      <c r="Y106" s="24">
        <f t="shared" si="29"/>
        <v>0</v>
      </c>
      <c r="Z106" s="24">
        <f t="shared" si="30"/>
        <v>0</v>
      </c>
      <c r="AA106" s="24">
        <f t="shared" si="31"/>
        <v>0</v>
      </c>
      <c r="AB106" s="24">
        <f t="shared" si="32"/>
        <v>0</v>
      </c>
      <c r="AC106" s="24">
        <f t="shared" si="33"/>
        <v>0</v>
      </c>
      <c r="AD106" s="24">
        <f t="shared" si="34"/>
        <v>0</v>
      </c>
    </row>
    <row r="107" spans="2:30" ht="16.5" x14ac:dyDescent="0.2">
      <c r="B107" s="54" t="s">
        <v>212</v>
      </c>
      <c r="C107" s="63" t="s">
        <v>120</v>
      </c>
      <c r="D107" s="63" t="s">
        <v>216</v>
      </c>
      <c r="E107" s="64">
        <v>4999100</v>
      </c>
      <c r="F107" s="64">
        <v>4999100</v>
      </c>
      <c r="G107" s="65">
        <v>0</v>
      </c>
      <c r="H107" s="64">
        <v>3500000</v>
      </c>
      <c r="I107" s="65">
        <v>0</v>
      </c>
      <c r="J107" s="65">
        <v>0</v>
      </c>
      <c r="K107" s="65">
        <v>0</v>
      </c>
      <c r="L107" s="65">
        <v>0</v>
      </c>
      <c r="M107" s="64">
        <v>1499100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24">
        <f t="shared" si="23"/>
        <v>0</v>
      </c>
      <c r="T107" s="24">
        <f t="shared" si="24"/>
        <v>70.012602268408301</v>
      </c>
      <c r="U107" s="24">
        <f t="shared" si="25"/>
        <v>0</v>
      </c>
      <c r="V107" s="24">
        <f t="shared" si="26"/>
        <v>0</v>
      </c>
      <c r="W107" s="24">
        <f t="shared" si="27"/>
        <v>0</v>
      </c>
      <c r="X107" s="24">
        <f t="shared" si="28"/>
        <v>0</v>
      </c>
      <c r="Y107" s="24">
        <f t="shared" si="29"/>
        <v>29.987397731591685</v>
      </c>
      <c r="Z107" s="24">
        <f t="shared" si="30"/>
        <v>0</v>
      </c>
      <c r="AA107" s="24">
        <f t="shared" si="31"/>
        <v>0</v>
      </c>
      <c r="AB107" s="24">
        <f t="shared" si="32"/>
        <v>0</v>
      </c>
      <c r="AC107" s="24">
        <f t="shared" si="33"/>
        <v>0</v>
      </c>
      <c r="AD107" s="24">
        <f t="shared" si="34"/>
        <v>0</v>
      </c>
    </row>
    <row r="108" spans="2:30" ht="16.5" x14ac:dyDescent="0.2">
      <c r="B108" s="54" t="s">
        <v>212</v>
      </c>
      <c r="C108" s="63" t="s">
        <v>122</v>
      </c>
      <c r="D108" s="59" t="s">
        <v>123</v>
      </c>
      <c r="E108" s="64">
        <v>3240000</v>
      </c>
      <c r="F108" s="64">
        <v>3240000</v>
      </c>
      <c r="G108" s="64">
        <v>270000</v>
      </c>
      <c r="H108" s="64">
        <v>270000</v>
      </c>
      <c r="I108" s="64">
        <v>270000</v>
      </c>
      <c r="J108" s="64">
        <v>270000</v>
      </c>
      <c r="K108" s="64">
        <v>270000</v>
      </c>
      <c r="L108" s="64">
        <v>270000</v>
      </c>
      <c r="M108" s="64">
        <v>270000</v>
      </c>
      <c r="N108" s="64">
        <v>270000</v>
      </c>
      <c r="O108" s="64">
        <v>270000</v>
      </c>
      <c r="P108" s="64">
        <v>270000</v>
      </c>
      <c r="Q108" s="64">
        <v>270000</v>
      </c>
      <c r="R108" s="64">
        <v>270000</v>
      </c>
      <c r="S108" s="24">
        <f t="shared" si="23"/>
        <v>8.3333333333333321</v>
      </c>
      <c r="T108" s="24">
        <f t="shared" si="24"/>
        <v>8.3333333333333321</v>
      </c>
      <c r="U108" s="24">
        <f t="shared" si="25"/>
        <v>8.3333333333333321</v>
      </c>
      <c r="V108" s="24">
        <f t="shared" si="26"/>
        <v>8.3333333333333321</v>
      </c>
      <c r="W108" s="24">
        <f t="shared" si="27"/>
        <v>8.3333333333333321</v>
      </c>
      <c r="X108" s="24">
        <f t="shared" si="28"/>
        <v>8.3333333333333321</v>
      </c>
      <c r="Y108" s="24">
        <f t="shared" si="29"/>
        <v>8.3333333333333321</v>
      </c>
      <c r="Z108" s="24">
        <f t="shared" si="30"/>
        <v>8.3333333333333321</v>
      </c>
      <c r="AA108" s="24">
        <f t="shared" si="31"/>
        <v>8.3333333333333321</v>
      </c>
      <c r="AB108" s="24">
        <f t="shared" si="32"/>
        <v>8.3333333333333321</v>
      </c>
      <c r="AC108" s="24">
        <f t="shared" si="33"/>
        <v>8.3333333333333321</v>
      </c>
      <c r="AD108" s="24">
        <f t="shared" si="34"/>
        <v>8.3333333333333321</v>
      </c>
    </row>
    <row r="109" spans="2:30" ht="16.5" x14ac:dyDescent="0.2">
      <c r="B109" s="54" t="s">
        <v>212</v>
      </c>
      <c r="C109" s="66" t="s">
        <v>126</v>
      </c>
      <c r="D109" s="59" t="s">
        <v>127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7">
        <v>0</v>
      </c>
      <c r="O109" s="67">
        <v>0</v>
      </c>
      <c r="P109" s="67">
        <v>0</v>
      </c>
      <c r="Q109" s="67">
        <v>0</v>
      </c>
      <c r="R109" s="67">
        <v>0</v>
      </c>
      <c r="S109" s="24" t="e">
        <f t="shared" si="23"/>
        <v>#DIV/0!</v>
      </c>
      <c r="T109" s="24" t="e">
        <f t="shared" si="24"/>
        <v>#DIV/0!</v>
      </c>
      <c r="U109" s="24" t="e">
        <f t="shared" si="25"/>
        <v>#DIV/0!</v>
      </c>
      <c r="V109" s="24" t="e">
        <f t="shared" si="26"/>
        <v>#DIV/0!</v>
      </c>
      <c r="W109" s="24" t="e">
        <f t="shared" si="27"/>
        <v>#DIV/0!</v>
      </c>
      <c r="X109" s="24" t="e">
        <f t="shared" si="28"/>
        <v>#DIV/0!</v>
      </c>
      <c r="Y109" s="24" t="e">
        <f t="shared" si="29"/>
        <v>#DIV/0!</v>
      </c>
      <c r="Z109" s="24" t="e">
        <f t="shared" si="30"/>
        <v>#DIV/0!</v>
      </c>
      <c r="AA109" s="24" t="e">
        <f t="shared" si="31"/>
        <v>#DIV/0!</v>
      </c>
      <c r="AB109" s="24" t="e">
        <f t="shared" si="32"/>
        <v>#DIV/0!</v>
      </c>
      <c r="AC109" s="24" t="e">
        <f t="shared" si="33"/>
        <v>#DIV/0!</v>
      </c>
      <c r="AD109" s="24" t="e">
        <f t="shared" si="34"/>
        <v>#DIV/0!</v>
      </c>
    </row>
    <row r="110" spans="2:30" ht="24.75" x14ac:dyDescent="0.2">
      <c r="B110" s="54" t="s">
        <v>212</v>
      </c>
      <c r="C110" s="56" t="s">
        <v>130</v>
      </c>
      <c r="D110" s="59" t="s">
        <v>217</v>
      </c>
      <c r="E110" s="62">
        <v>0</v>
      </c>
      <c r="F110" s="62">
        <v>0</v>
      </c>
      <c r="G110" s="62">
        <v>0</v>
      </c>
      <c r="H110" s="62">
        <v>0</v>
      </c>
      <c r="I110" s="62">
        <v>0</v>
      </c>
      <c r="J110" s="62">
        <v>0</v>
      </c>
      <c r="K110" s="62">
        <v>0</v>
      </c>
      <c r="L110" s="62">
        <v>0</v>
      </c>
      <c r="M110" s="62">
        <v>0</v>
      </c>
      <c r="N110" s="62">
        <v>0</v>
      </c>
      <c r="O110" s="62">
        <v>0</v>
      </c>
      <c r="P110" s="62">
        <v>0</v>
      </c>
      <c r="Q110" s="62">
        <v>0</v>
      </c>
      <c r="R110" s="62">
        <v>0</v>
      </c>
      <c r="S110" s="24" t="e">
        <f t="shared" si="23"/>
        <v>#DIV/0!</v>
      </c>
      <c r="T110" s="24" t="e">
        <f t="shared" si="24"/>
        <v>#DIV/0!</v>
      </c>
      <c r="U110" s="24" t="e">
        <f t="shared" si="25"/>
        <v>#DIV/0!</v>
      </c>
      <c r="V110" s="24" t="e">
        <f t="shared" si="26"/>
        <v>#DIV/0!</v>
      </c>
      <c r="W110" s="24" t="e">
        <f t="shared" si="27"/>
        <v>#DIV/0!</v>
      </c>
      <c r="X110" s="24" t="e">
        <f t="shared" si="28"/>
        <v>#DIV/0!</v>
      </c>
      <c r="Y110" s="24" t="e">
        <f t="shared" si="29"/>
        <v>#DIV/0!</v>
      </c>
      <c r="Z110" s="24" t="e">
        <f t="shared" si="30"/>
        <v>#DIV/0!</v>
      </c>
      <c r="AA110" s="24" t="e">
        <f t="shared" si="31"/>
        <v>#DIV/0!</v>
      </c>
      <c r="AB110" s="24" t="e">
        <f t="shared" si="32"/>
        <v>#DIV/0!</v>
      </c>
      <c r="AC110" s="24" t="e">
        <f t="shared" si="33"/>
        <v>#DIV/0!</v>
      </c>
      <c r="AD110" s="24" t="e">
        <f t="shared" si="34"/>
        <v>#DIV/0!</v>
      </c>
    </row>
    <row r="111" spans="2:30" x14ac:dyDescent="0.2">
      <c r="B111" s="54" t="s">
        <v>212</v>
      </c>
      <c r="C111" s="63" t="s">
        <v>134</v>
      </c>
      <c r="D111" s="63" t="s">
        <v>135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24" t="e">
        <f t="shared" si="23"/>
        <v>#DIV/0!</v>
      </c>
      <c r="T111" s="24" t="e">
        <f t="shared" si="24"/>
        <v>#DIV/0!</v>
      </c>
      <c r="U111" s="24" t="e">
        <f t="shared" si="25"/>
        <v>#DIV/0!</v>
      </c>
      <c r="V111" s="24" t="e">
        <f t="shared" si="26"/>
        <v>#DIV/0!</v>
      </c>
      <c r="W111" s="24" t="e">
        <f t="shared" si="27"/>
        <v>#DIV/0!</v>
      </c>
      <c r="X111" s="24" t="e">
        <f t="shared" si="28"/>
        <v>#DIV/0!</v>
      </c>
      <c r="Y111" s="24" t="e">
        <f t="shared" si="29"/>
        <v>#DIV/0!</v>
      </c>
      <c r="Z111" s="24" t="e">
        <f t="shared" si="30"/>
        <v>#DIV/0!</v>
      </c>
      <c r="AA111" s="24" t="e">
        <f t="shared" si="31"/>
        <v>#DIV/0!</v>
      </c>
      <c r="AB111" s="24" t="e">
        <f t="shared" si="32"/>
        <v>#DIV/0!</v>
      </c>
      <c r="AC111" s="24" t="e">
        <f t="shared" si="33"/>
        <v>#DIV/0!</v>
      </c>
      <c r="AD111" s="24" t="e">
        <f t="shared" si="34"/>
        <v>#DIV/0!</v>
      </c>
    </row>
    <row r="112" spans="2:30" ht="24.75" x14ac:dyDescent="0.2">
      <c r="B112" s="54" t="s">
        <v>212</v>
      </c>
      <c r="C112" s="68" t="s">
        <v>140</v>
      </c>
      <c r="D112" s="59" t="s">
        <v>141</v>
      </c>
      <c r="E112" s="61">
        <v>644310128</v>
      </c>
      <c r="F112" s="61">
        <v>644310128</v>
      </c>
      <c r="G112" s="61">
        <v>50767494</v>
      </c>
      <c r="H112" s="61">
        <v>57682757</v>
      </c>
      <c r="I112" s="61">
        <v>87697431</v>
      </c>
      <c r="J112" s="61">
        <v>49692994</v>
      </c>
      <c r="K112" s="61">
        <v>49692994</v>
      </c>
      <c r="L112" s="61">
        <v>49692994</v>
      </c>
      <c r="M112" s="61">
        <v>51692994</v>
      </c>
      <c r="N112" s="61">
        <v>49692994</v>
      </c>
      <c r="O112" s="61">
        <v>49692994</v>
      </c>
      <c r="P112" s="61">
        <v>49692994</v>
      </c>
      <c r="Q112" s="61">
        <v>49692994</v>
      </c>
      <c r="R112" s="61">
        <v>48618494</v>
      </c>
      <c r="S112" s="24">
        <f t="shared" si="23"/>
        <v>7.8793568180570333</v>
      </c>
      <c r="T112" s="24">
        <f t="shared" si="24"/>
        <v>8.9526385653835323</v>
      </c>
      <c r="U112" s="24">
        <f t="shared" si="25"/>
        <v>13.611058896780218</v>
      </c>
      <c r="V112" s="24">
        <f t="shared" si="26"/>
        <v>7.7125893014054867</v>
      </c>
      <c r="W112" s="24">
        <f t="shared" si="27"/>
        <v>7.7125893014054867</v>
      </c>
      <c r="X112" s="24">
        <f t="shared" si="28"/>
        <v>7.7125893014054867</v>
      </c>
      <c r="Y112" s="24">
        <f t="shared" si="29"/>
        <v>8.0229988251868676</v>
      </c>
      <c r="Z112" s="24">
        <f t="shared" si="30"/>
        <v>7.7125893014054867</v>
      </c>
      <c r="AA112" s="24">
        <f t="shared" si="31"/>
        <v>7.7125893014054867</v>
      </c>
      <c r="AB112" s="24">
        <f t="shared" si="32"/>
        <v>7.7125893014054867</v>
      </c>
      <c r="AC112" s="24">
        <f t="shared" si="33"/>
        <v>7.7125893014054867</v>
      </c>
      <c r="AD112" s="24">
        <f t="shared" si="34"/>
        <v>7.5458217847539411</v>
      </c>
    </row>
    <row r="113" spans="2:30" x14ac:dyDescent="0.2">
      <c r="B113" s="54" t="s">
        <v>212</v>
      </c>
      <c r="C113" s="63" t="s">
        <v>142</v>
      </c>
      <c r="D113" s="63" t="s">
        <v>143</v>
      </c>
      <c r="E113" s="64">
        <v>3500000</v>
      </c>
      <c r="F113" s="64">
        <v>3500000</v>
      </c>
      <c r="G113" s="65">
        <v>0</v>
      </c>
      <c r="H113" s="64">
        <v>1500000</v>
      </c>
      <c r="I113" s="65">
        <v>0</v>
      </c>
      <c r="J113" s="65">
        <v>0</v>
      </c>
      <c r="K113" s="65">
        <v>0</v>
      </c>
      <c r="L113" s="65">
        <v>0</v>
      </c>
      <c r="M113" s="64">
        <v>2000000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24">
        <f t="shared" si="23"/>
        <v>0</v>
      </c>
      <c r="T113" s="24">
        <f t="shared" si="24"/>
        <v>42.857142857142854</v>
      </c>
      <c r="U113" s="24">
        <f t="shared" si="25"/>
        <v>0</v>
      </c>
      <c r="V113" s="24">
        <f t="shared" si="26"/>
        <v>0</v>
      </c>
      <c r="W113" s="24">
        <f t="shared" si="27"/>
        <v>0</v>
      </c>
      <c r="X113" s="24">
        <f t="shared" si="28"/>
        <v>0</v>
      </c>
      <c r="Y113" s="24">
        <f t="shared" si="29"/>
        <v>57.142857142857139</v>
      </c>
      <c r="Z113" s="24">
        <f t="shared" si="30"/>
        <v>0</v>
      </c>
      <c r="AA113" s="24">
        <f t="shared" si="31"/>
        <v>0</v>
      </c>
      <c r="AB113" s="24">
        <f t="shared" si="32"/>
        <v>0</v>
      </c>
      <c r="AC113" s="24">
        <f t="shared" si="33"/>
        <v>0</v>
      </c>
      <c r="AD113" s="24">
        <f t="shared" si="34"/>
        <v>0</v>
      </c>
    </row>
    <row r="114" spans="2:30" ht="16.5" x14ac:dyDescent="0.2">
      <c r="B114" s="54" t="s">
        <v>212</v>
      </c>
      <c r="C114" s="63" t="s">
        <v>144</v>
      </c>
      <c r="D114" s="59" t="s">
        <v>145</v>
      </c>
      <c r="E114" s="64">
        <v>81144000</v>
      </c>
      <c r="F114" s="64">
        <v>81144000</v>
      </c>
      <c r="G114" s="64">
        <v>7836500</v>
      </c>
      <c r="H114" s="64">
        <v>6762000</v>
      </c>
      <c r="I114" s="64">
        <v>6762000</v>
      </c>
      <c r="J114" s="64">
        <v>6762000</v>
      </c>
      <c r="K114" s="64">
        <v>6762000</v>
      </c>
      <c r="L114" s="64">
        <v>6762000</v>
      </c>
      <c r="M114" s="64">
        <v>6762000</v>
      </c>
      <c r="N114" s="64">
        <v>6762000</v>
      </c>
      <c r="O114" s="64">
        <v>6762000</v>
      </c>
      <c r="P114" s="64">
        <v>6762000</v>
      </c>
      <c r="Q114" s="64">
        <v>6762000</v>
      </c>
      <c r="R114" s="64">
        <v>5687500</v>
      </c>
      <c r="S114" s="24">
        <f t="shared" si="23"/>
        <v>9.6575224292615598</v>
      </c>
      <c r="T114" s="24">
        <f t="shared" si="24"/>
        <v>8.3333333333333321</v>
      </c>
      <c r="U114" s="24">
        <f t="shared" si="25"/>
        <v>8.3333333333333321</v>
      </c>
      <c r="V114" s="24">
        <f t="shared" si="26"/>
        <v>8.3333333333333321</v>
      </c>
      <c r="W114" s="24">
        <f t="shared" si="27"/>
        <v>8.3333333333333321</v>
      </c>
      <c r="X114" s="24">
        <f t="shared" si="28"/>
        <v>8.3333333333333321</v>
      </c>
      <c r="Y114" s="24">
        <f t="shared" si="29"/>
        <v>8.3333333333333321</v>
      </c>
      <c r="Z114" s="24">
        <f t="shared" si="30"/>
        <v>8.3333333333333321</v>
      </c>
      <c r="AA114" s="24">
        <f t="shared" si="31"/>
        <v>8.3333333333333321</v>
      </c>
      <c r="AB114" s="24">
        <f t="shared" si="32"/>
        <v>8.3333333333333321</v>
      </c>
      <c r="AC114" s="24">
        <f t="shared" si="33"/>
        <v>8.3333333333333321</v>
      </c>
      <c r="AD114" s="24">
        <f t="shared" si="34"/>
        <v>7.0091442374051072</v>
      </c>
    </row>
    <row r="115" spans="2:30" ht="16.5" x14ac:dyDescent="0.2">
      <c r="B115" s="54" t="s">
        <v>212</v>
      </c>
      <c r="C115" s="66" t="s">
        <v>146</v>
      </c>
      <c r="D115" s="59" t="s">
        <v>147</v>
      </c>
      <c r="E115" s="69">
        <v>559666128</v>
      </c>
      <c r="F115" s="69">
        <v>559666128</v>
      </c>
      <c r="G115" s="69">
        <v>42930994</v>
      </c>
      <c r="H115" s="69">
        <v>49420757</v>
      </c>
      <c r="I115" s="69">
        <v>80935431</v>
      </c>
      <c r="J115" s="69">
        <v>42930994</v>
      </c>
      <c r="K115" s="69">
        <v>42930994</v>
      </c>
      <c r="L115" s="69">
        <v>42930994</v>
      </c>
      <c r="M115" s="69">
        <v>42930994</v>
      </c>
      <c r="N115" s="69">
        <v>42930994</v>
      </c>
      <c r="O115" s="69">
        <v>42930994</v>
      </c>
      <c r="P115" s="69">
        <v>42930994</v>
      </c>
      <c r="Q115" s="69">
        <v>42930994</v>
      </c>
      <c r="R115" s="69">
        <v>42930994</v>
      </c>
      <c r="S115" s="24">
        <f t="shared" si="23"/>
        <v>7.6708222728104776</v>
      </c>
      <c r="T115" s="24">
        <f t="shared" si="24"/>
        <v>8.8303998629697311</v>
      </c>
      <c r="U115" s="24">
        <f t="shared" si="25"/>
        <v>14.461377408925488</v>
      </c>
      <c r="V115" s="24">
        <f t="shared" si="26"/>
        <v>7.6708222728104776</v>
      </c>
      <c r="W115" s="24">
        <f t="shared" si="27"/>
        <v>7.6708222728104776</v>
      </c>
      <c r="X115" s="24">
        <f t="shared" si="28"/>
        <v>7.6708222728104776</v>
      </c>
      <c r="Y115" s="24">
        <f t="shared" si="29"/>
        <v>7.6708222728104776</v>
      </c>
      <c r="Z115" s="24">
        <f t="shared" si="30"/>
        <v>7.6708222728104776</v>
      </c>
      <c r="AA115" s="24">
        <f t="shared" si="31"/>
        <v>7.6708222728104776</v>
      </c>
      <c r="AB115" s="24">
        <f t="shared" si="32"/>
        <v>7.6708222728104776</v>
      </c>
      <c r="AC115" s="24">
        <f t="shared" si="33"/>
        <v>7.6708222728104776</v>
      </c>
      <c r="AD115" s="24">
        <f t="shared" si="34"/>
        <v>7.6708222728104776</v>
      </c>
    </row>
    <row r="116" spans="2:30" ht="33" x14ac:dyDescent="0.2">
      <c r="B116" s="54" t="s">
        <v>212</v>
      </c>
      <c r="C116" s="56" t="s">
        <v>148</v>
      </c>
      <c r="D116" s="59" t="s">
        <v>149</v>
      </c>
      <c r="E116" s="57">
        <v>37290000</v>
      </c>
      <c r="F116" s="57">
        <v>37290000</v>
      </c>
      <c r="G116" s="57">
        <v>1800000</v>
      </c>
      <c r="H116" s="57">
        <v>21900000</v>
      </c>
      <c r="I116" s="62">
        <v>0</v>
      </c>
      <c r="J116" s="62">
        <v>0</v>
      </c>
      <c r="K116" s="62">
        <v>0</v>
      </c>
      <c r="L116" s="57">
        <v>1400000</v>
      </c>
      <c r="M116" s="57">
        <v>12190000</v>
      </c>
      <c r="N116" s="62">
        <v>0</v>
      </c>
      <c r="O116" s="62">
        <v>0</v>
      </c>
      <c r="P116" s="62">
        <v>0</v>
      </c>
      <c r="Q116" s="62">
        <v>0</v>
      </c>
      <c r="R116" s="62">
        <v>0</v>
      </c>
      <c r="S116" s="24">
        <f t="shared" si="23"/>
        <v>4.8270313757039416</v>
      </c>
      <c r="T116" s="24">
        <f t="shared" si="24"/>
        <v>58.728881737731299</v>
      </c>
      <c r="U116" s="24">
        <f t="shared" si="25"/>
        <v>0</v>
      </c>
      <c r="V116" s="24">
        <f t="shared" si="26"/>
        <v>0</v>
      </c>
      <c r="W116" s="24">
        <f t="shared" si="27"/>
        <v>0</v>
      </c>
      <c r="X116" s="24">
        <f t="shared" si="28"/>
        <v>3.7543577366586214</v>
      </c>
      <c r="Y116" s="24">
        <f t="shared" si="29"/>
        <v>32.689729149906142</v>
      </c>
      <c r="Z116" s="24">
        <f t="shared" si="30"/>
        <v>0</v>
      </c>
      <c r="AA116" s="24">
        <f t="shared" si="31"/>
        <v>0</v>
      </c>
      <c r="AB116" s="24">
        <f t="shared" si="32"/>
        <v>0</v>
      </c>
      <c r="AC116" s="24">
        <f t="shared" si="33"/>
        <v>0</v>
      </c>
      <c r="AD116" s="24">
        <f t="shared" si="34"/>
        <v>0</v>
      </c>
    </row>
    <row r="117" spans="2:30" ht="33" x14ac:dyDescent="0.2">
      <c r="B117" s="54" t="s">
        <v>212</v>
      </c>
      <c r="C117" s="66" t="s">
        <v>152</v>
      </c>
      <c r="D117" s="59" t="s">
        <v>153</v>
      </c>
      <c r="E117" s="69">
        <v>23200000</v>
      </c>
      <c r="F117" s="69">
        <v>23200000</v>
      </c>
      <c r="G117" s="69">
        <v>1800000</v>
      </c>
      <c r="H117" s="69">
        <v>15000000</v>
      </c>
      <c r="I117" s="67">
        <v>0</v>
      </c>
      <c r="J117" s="67">
        <v>0</v>
      </c>
      <c r="K117" s="67">
        <v>0</v>
      </c>
      <c r="L117" s="69">
        <v>1400000</v>
      </c>
      <c r="M117" s="69">
        <v>5000000</v>
      </c>
      <c r="N117" s="67">
        <v>0</v>
      </c>
      <c r="O117" s="67">
        <v>0</v>
      </c>
      <c r="P117" s="67">
        <v>0</v>
      </c>
      <c r="Q117" s="67">
        <v>0</v>
      </c>
      <c r="R117" s="67">
        <v>0</v>
      </c>
      <c r="S117" s="24">
        <f t="shared" si="23"/>
        <v>7.7586206896551726</v>
      </c>
      <c r="T117" s="24">
        <f t="shared" si="24"/>
        <v>64.65517241379311</v>
      </c>
      <c r="U117" s="24">
        <f t="shared" si="25"/>
        <v>0</v>
      </c>
      <c r="V117" s="24">
        <f t="shared" si="26"/>
        <v>0</v>
      </c>
      <c r="W117" s="24">
        <f t="shared" si="27"/>
        <v>0</v>
      </c>
      <c r="X117" s="24">
        <f t="shared" si="28"/>
        <v>6.0344827586206895</v>
      </c>
      <c r="Y117" s="24">
        <f t="shared" si="29"/>
        <v>21.551724137931032</v>
      </c>
      <c r="Z117" s="24">
        <f t="shared" si="30"/>
        <v>0</v>
      </c>
      <c r="AA117" s="24">
        <f t="shared" si="31"/>
        <v>0</v>
      </c>
      <c r="AB117" s="24">
        <f t="shared" si="32"/>
        <v>0</v>
      </c>
      <c r="AC117" s="24">
        <f t="shared" si="33"/>
        <v>0</v>
      </c>
      <c r="AD117" s="24">
        <f t="shared" si="34"/>
        <v>0</v>
      </c>
    </row>
    <row r="118" spans="2:30" x14ac:dyDescent="0.2">
      <c r="B118" s="54" t="s">
        <v>212</v>
      </c>
      <c r="C118" s="63" t="s">
        <v>154</v>
      </c>
      <c r="D118" s="63" t="s">
        <v>155</v>
      </c>
      <c r="E118" s="65">
        <v>0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24" t="e">
        <f t="shared" si="23"/>
        <v>#DIV/0!</v>
      </c>
      <c r="T118" s="24" t="e">
        <f t="shared" si="24"/>
        <v>#DIV/0!</v>
      </c>
      <c r="U118" s="24" t="e">
        <f t="shared" si="25"/>
        <v>#DIV/0!</v>
      </c>
      <c r="V118" s="24" t="e">
        <f t="shared" si="26"/>
        <v>#DIV/0!</v>
      </c>
      <c r="W118" s="24" t="e">
        <f t="shared" si="27"/>
        <v>#DIV/0!</v>
      </c>
      <c r="X118" s="24" t="e">
        <f t="shared" si="28"/>
        <v>#DIV/0!</v>
      </c>
      <c r="Y118" s="24" t="e">
        <f t="shared" si="29"/>
        <v>#DIV/0!</v>
      </c>
      <c r="Z118" s="24" t="e">
        <f t="shared" si="30"/>
        <v>#DIV/0!</v>
      </c>
      <c r="AA118" s="24" t="e">
        <f t="shared" si="31"/>
        <v>#DIV/0!</v>
      </c>
      <c r="AB118" s="24" t="e">
        <f t="shared" si="32"/>
        <v>#DIV/0!</v>
      </c>
      <c r="AC118" s="24" t="e">
        <f t="shared" si="33"/>
        <v>#DIV/0!</v>
      </c>
      <c r="AD118" s="24" t="e">
        <f t="shared" si="34"/>
        <v>#DIV/0!</v>
      </c>
    </row>
    <row r="119" spans="2:30" ht="16.5" x14ac:dyDescent="0.2">
      <c r="B119" s="54" t="s">
        <v>212</v>
      </c>
      <c r="C119" s="66" t="s">
        <v>156</v>
      </c>
      <c r="D119" s="59" t="s">
        <v>157</v>
      </c>
      <c r="E119" s="69">
        <v>14090000</v>
      </c>
      <c r="F119" s="69">
        <v>14090000</v>
      </c>
      <c r="G119" s="67">
        <v>0</v>
      </c>
      <c r="H119" s="69">
        <v>6900000</v>
      </c>
      <c r="I119" s="67">
        <v>0</v>
      </c>
      <c r="J119" s="67">
        <v>0</v>
      </c>
      <c r="K119" s="67">
        <v>0</v>
      </c>
      <c r="L119" s="67">
        <v>0</v>
      </c>
      <c r="M119" s="69">
        <v>7190000</v>
      </c>
      <c r="N119" s="67">
        <v>0</v>
      </c>
      <c r="O119" s="67">
        <v>0</v>
      </c>
      <c r="P119" s="67">
        <v>0</v>
      </c>
      <c r="Q119" s="67">
        <v>0</v>
      </c>
      <c r="R119" s="67">
        <v>0</v>
      </c>
      <c r="S119" s="24">
        <f t="shared" si="23"/>
        <v>0</v>
      </c>
      <c r="T119" s="24">
        <f t="shared" si="24"/>
        <v>48.970901348474094</v>
      </c>
      <c r="U119" s="24">
        <f t="shared" si="25"/>
        <v>0</v>
      </c>
      <c r="V119" s="24">
        <f t="shared" si="26"/>
        <v>0</v>
      </c>
      <c r="W119" s="24">
        <f t="shared" si="27"/>
        <v>0</v>
      </c>
      <c r="X119" s="24">
        <f t="shared" si="28"/>
        <v>0</v>
      </c>
      <c r="Y119" s="24">
        <f t="shared" si="29"/>
        <v>51.029098651525906</v>
      </c>
      <c r="Z119" s="24">
        <f t="shared" si="30"/>
        <v>0</v>
      </c>
      <c r="AA119" s="24">
        <f t="shared" si="31"/>
        <v>0</v>
      </c>
      <c r="AB119" s="24">
        <f t="shared" si="32"/>
        <v>0</v>
      </c>
      <c r="AC119" s="24">
        <f t="shared" si="33"/>
        <v>0</v>
      </c>
      <c r="AD119" s="24">
        <f t="shared" si="34"/>
        <v>0</v>
      </c>
    </row>
    <row r="120" spans="2:30" ht="24.75" x14ac:dyDescent="0.2">
      <c r="B120" s="54" t="s">
        <v>212</v>
      </c>
      <c r="C120" s="63" t="s">
        <v>160</v>
      </c>
      <c r="D120" s="59" t="s">
        <v>218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24" t="e">
        <f t="shared" si="23"/>
        <v>#DIV/0!</v>
      </c>
      <c r="T120" s="24" t="e">
        <f t="shared" si="24"/>
        <v>#DIV/0!</v>
      </c>
      <c r="U120" s="24" t="e">
        <f t="shared" si="25"/>
        <v>#DIV/0!</v>
      </c>
      <c r="V120" s="24" t="e">
        <f t="shared" si="26"/>
        <v>#DIV/0!</v>
      </c>
      <c r="W120" s="24" t="e">
        <f t="shared" si="27"/>
        <v>#DIV/0!</v>
      </c>
      <c r="X120" s="24" t="e">
        <f t="shared" si="28"/>
        <v>#DIV/0!</v>
      </c>
      <c r="Y120" s="24" t="e">
        <f t="shared" si="29"/>
        <v>#DIV/0!</v>
      </c>
      <c r="Z120" s="24" t="e">
        <f t="shared" si="30"/>
        <v>#DIV/0!</v>
      </c>
      <c r="AA120" s="24" t="e">
        <f t="shared" si="31"/>
        <v>#DIV/0!</v>
      </c>
      <c r="AB120" s="24" t="e">
        <f t="shared" si="32"/>
        <v>#DIV/0!</v>
      </c>
      <c r="AC120" s="24" t="e">
        <f t="shared" si="33"/>
        <v>#DIV/0!</v>
      </c>
      <c r="AD120" s="24" t="e">
        <f t="shared" si="34"/>
        <v>#DIV/0!</v>
      </c>
    </row>
    <row r="121" spans="2:30" ht="24.75" x14ac:dyDescent="0.2">
      <c r="B121" s="54" t="s">
        <v>212</v>
      </c>
      <c r="C121" s="63" t="s">
        <v>219</v>
      </c>
      <c r="D121" s="59" t="s">
        <v>220</v>
      </c>
      <c r="E121" s="65">
        <v>0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24" t="e">
        <f t="shared" si="23"/>
        <v>#DIV/0!</v>
      </c>
      <c r="T121" s="24" t="e">
        <f t="shared" si="24"/>
        <v>#DIV/0!</v>
      </c>
      <c r="U121" s="24" t="e">
        <f t="shared" si="25"/>
        <v>#DIV/0!</v>
      </c>
      <c r="V121" s="24" t="e">
        <f t="shared" si="26"/>
        <v>#DIV/0!</v>
      </c>
      <c r="W121" s="24" t="e">
        <f t="shared" si="27"/>
        <v>#DIV/0!</v>
      </c>
      <c r="X121" s="24" t="e">
        <f t="shared" si="28"/>
        <v>#DIV/0!</v>
      </c>
      <c r="Y121" s="24" t="e">
        <f t="shared" si="29"/>
        <v>#DIV/0!</v>
      </c>
      <c r="Z121" s="24" t="e">
        <f t="shared" si="30"/>
        <v>#DIV/0!</v>
      </c>
      <c r="AA121" s="24" t="e">
        <f t="shared" si="31"/>
        <v>#DIV/0!</v>
      </c>
      <c r="AB121" s="24" t="e">
        <f t="shared" si="32"/>
        <v>#DIV/0!</v>
      </c>
      <c r="AC121" s="24" t="e">
        <f t="shared" si="33"/>
        <v>#DIV/0!</v>
      </c>
      <c r="AD121" s="24" t="e">
        <f t="shared" si="34"/>
        <v>#DIV/0!</v>
      </c>
    </row>
    <row r="122" spans="2:30" ht="24.75" x14ac:dyDescent="0.2">
      <c r="B122" s="54" t="s">
        <v>212</v>
      </c>
      <c r="C122" s="60">
        <v>37671</v>
      </c>
      <c r="D122" s="59" t="s">
        <v>180</v>
      </c>
      <c r="E122" s="61">
        <v>2846954633</v>
      </c>
      <c r="F122" s="61">
        <v>2846954633</v>
      </c>
      <c r="G122" s="61">
        <v>242200000</v>
      </c>
      <c r="H122" s="61">
        <v>263904633</v>
      </c>
      <c r="I122" s="61">
        <v>197875000</v>
      </c>
      <c r="J122" s="61">
        <v>253750000</v>
      </c>
      <c r="K122" s="61">
        <v>260725000</v>
      </c>
      <c r="L122" s="61">
        <v>196000000</v>
      </c>
      <c r="M122" s="61">
        <v>214525000</v>
      </c>
      <c r="N122" s="61">
        <v>259525000</v>
      </c>
      <c r="O122" s="61">
        <v>253750000</v>
      </c>
      <c r="P122" s="61">
        <v>260725000</v>
      </c>
      <c r="Q122" s="61">
        <v>363475000</v>
      </c>
      <c r="R122" s="61">
        <v>80500000</v>
      </c>
      <c r="S122" s="24">
        <f t="shared" si="23"/>
        <v>8.5073361265606096</v>
      </c>
      <c r="T122" s="24">
        <f t="shared" si="24"/>
        <v>9.2697168385120534</v>
      </c>
      <c r="U122" s="24">
        <f t="shared" si="25"/>
        <v>6.9504093147943049</v>
      </c>
      <c r="V122" s="24">
        <f t="shared" si="26"/>
        <v>8.9130327915555512</v>
      </c>
      <c r="W122" s="24">
        <f t="shared" si="27"/>
        <v>9.1580314269096394</v>
      </c>
      <c r="X122" s="24">
        <f t="shared" si="28"/>
        <v>6.8845494665808404</v>
      </c>
      <c r="Y122" s="24">
        <f t="shared" si="29"/>
        <v>7.5352447669298703</v>
      </c>
      <c r="Z122" s="24">
        <f t="shared" si="30"/>
        <v>9.115881124053022</v>
      </c>
      <c r="AA122" s="24">
        <f t="shared" si="31"/>
        <v>8.9130327915555512</v>
      </c>
      <c r="AB122" s="24">
        <f t="shared" si="32"/>
        <v>9.1580314269096394</v>
      </c>
      <c r="AC122" s="24">
        <f t="shared" si="33"/>
        <v>12.767151109007505</v>
      </c>
      <c r="AD122" s="24">
        <f t="shared" si="34"/>
        <v>2.8275828166314163</v>
      </c>
    </row>
    <row r="123" spans="2:30" x14ac:dyDescent="0.2">
      <c r="B123" s="54" t="s">
        <v>212</v>
      </c>
      <c r="C123" s="77" t="s">
        <v>60</v>
      </c>
      <c r="D123" s="80" t="s">
        <v>61</v>
      </c>
      <c r="E123" s="83" t="s">
        <v>62</v>
      </c>
      <c r="F123" s="86" t="s">
        <v>63</v>
      </c>
      <c r="G123" s="51" t="s">
        <v>64</v>
      </c>
      <c r="H123" s="75"/>
      <c r="I123" s="75"/>
      <c r="J123" s="75"/>
      <c r="K123" s="75"/>
      <c r="L123" s="76"/>
      <c r="M123" s="51" t="s">
        <v>65</v>
      </c>
      <c r="N123" s="75"/>
      <c r="O123" s="75"/>
      <c r="P123" s="75"/>
      <c r="Q123" s="75"/>
      <c r="R123" s="76"/>
      <c r="S123" s="24" t="e">
        <f t="shared" si="23"/>
        <v>#VALUE!</v>
      </c>
      <c r="T123" s="24" t="e">
        <f t="shared" si="24"/>
        <v>#VALUE!</v>
      </c>
      <c r="U123" s="24" t="e">
        <f t="shared" si="25"/>
        <v>#VALUE!</v>
      </c>
      <c r="V123" s="24" t="e">
        <f t="shared" si="26"/>
        <v>#VALUE!</v>
      </c>
      <c r="W123" s="24" t="e">
        <f t="shared" si="27"/>
        <v>#VALUE!</v>
      </c>
      <c r="X123" s="24" t="e">
        <f t="shared" si="28"/>
        <v>#VALUE!</v>
      </c>
      <c r="Y123" s="24" t="e">
        <f t="shared" si="29"/>
        <v>#VALUE!</v>
      </c>
      <c r="Z123" s="24" t="e">
        <f t="shared" si="30"/>
        <v>#VALUE!</v>
      </c>
      <c r="AA123" s="24" t="e">
        <f t="shared" si="31"/>
        <v>#VALUE!</v>
      </c>
      <c r="AB123" s="24" t="e">
        <f t="shared" si="32"/>
        <v>#VALUE!</v>
      </c>
      <c r="AC123" s="24" t="e">
        <f t="shared" si="33"/>
        <v>#VALUE!</v>
      </c>
      <c r="AD123" s="24" t="e">
        <f t="shared" si="34"/>
        <v>#VALUE!</v>
      </c>
    </row>
    <row r="124" spans="2:30" x14ac:dyDescent="0.2">
      <c r="B124" s="54" t="s">
        <v>212</v>
      </c>
      <c r="C124" s="78"/>
      <c r="D124" s="81"/>
      <c r="E124" s="84"/>
      <c r="F124" s="87"/>
      <c r="G124" s="51" t="s">
        <v>66</v>
      </c>
      <c r="H124" s="75"/>
      <c r="I124" s="76"/>
      <c r="J124" s="51" t="s">
        <v>67</v>
      </c>
      <c r="K124" s="75"/>
      <c r="L124" s="76"/>
      <c r="M124" s="51" t="s">
        <v>68</v>
      </c>
      <c r="N124" s="75"/>
      <c r="O124" s="76"/>
      <c r="P124" s="51" t="s">
        <v>69</v>
      </c>
      <c r="Q124" s="75"/>
      <c r="R124" s="76"/>
      <c r="S124" s="24" t="e">
        <f t="shared" si="23"/>
        <v>#VALUE!</v>
      </c>
      <c r="T124" s="24" t="e">
        <f t="shared" si="24"/>
        <v>#DIV/0!</v>
      </c>
      <c r="U124" s="24" t="e">
        <f t="shared" si="25"/>
        <v>#DIV/0!</v>
      </c>
      <c r="V124" s="24" t="e">
        <f t="shared" si="26"/>
        <v>#VALUE!</v>
      </c>
      <c r="W124" s="24" t="e">
        <f t="shared" si="27"/>
        <v>#DIV/0!</v>
      </c>
      <c r="X124" s="24" t="e">
        <f t="shared" si="28"/>
        <v>#DIV/0!</v>
      </c>
      <c r="Y124" s="24" t="e">
        <f t="shared" si="29"/>
        <v>#VALUE!</v>
      </c>
      <c r="Z124" s="24" t="e">
        <f t="shared" si="30"/>
        <v>#DIV/0!</v>
      </c>
      <c r="AA124" s="24" t="e">
        <f t="shared" si="31"/>
        <v>#DIV/0!</v>
      </c>
      <c r="AB124" s="24" t="e">
        <f t="shared" si="32"/>
        <v>#VALUE!</v>
      </c>
      <c r="AC124" s="24" t="e">
        <f t="shared" si="33"/>
        <v>#DIV/0!</v>
      </c>
      <c r="AD124" s="24" t="e">
        <f t="shared" si="34"/>
        <v>#DIV/0!</v>
      </c>
    </row>
    <row r="125" spans="2:30" x14ac:dyDescent="0.2">
      <c r="B125" s="54" t="s">
        <v>212</v>
      </c>
      <c r="C125" s="79"/>
      <c r="D125" s="82"/>
      <c r="E125" s="85"/>
      <c r="F125" s="88"/>
      <c r="G125" s="52" t="s">
        <v>70</v>
      </c>
      <c r="H125" s="52" t="s">
        <v>71</v>
      </c>
      <c r="I125" s="53" t="s">
        <v>72</v>
      </c>
      <c r="J125" s="53" t="s">
        <v>73</v>
      </c>
      <c r="K125" s="53" t="s">
        <v>74</v>
      </c>
      <c r="L125" s="53" t="s">
        <v>75</v>
      </c>
      <c r="M125" s="53" t="s">
        <v>76</v>
      </c>
      <c r="N125" s="52" t="s">
        <v>77</v>
      </c>
      <c r="O125" s="52" t="s">
        <v>78</v>
      </c>
      <c r="P125" s="52" t="s">
        <v>79</v>
      </c>
      <c r="Q125" s="52" t="s">
        <v>80</v>
      </c>
      <c r="R125" s="52" t="s">
        <v>81</v>
      </c>
      <c r="S125" s="24" t="e">
        <f t="shared" si="23"/>
        <v>#VALUE!</v>
      </c>
      <c r="T125" s="24" t="e">
        <f t="shared" si="24"/>
        <v>#VALUE!</v>
      </c>
      <c r="U125" s="24" t="e">
        <f t="shared" si="25"/>
        <v>#VALUE!</v>
      </c>
      <c r="V125" s="24" t="e">
        <f t="shared" si="26"/>
        <v>#VALUE!</v>
      </c>
      <c r="W125" s="24" t="e">
        <f t="shared" si="27"/>
        <v>#VALUE!</v>
      </c>
      <c r="X125" s="24" t="e">
        <f t="shared" si="28"/>
        <v>#VALUE!</v>
      </c>
      <c r="Y125" s="24" t="e">
        <f t="shared" si="29"/>
        <v>#VALUE!</v>
      </c>
      <c r="Z125" s="24" t="e">
        <f t="shared" si="30"/>
        <v>#VALUE!</v>
      </c>
      <c r="AA125" s="24" t="e">
        <f t="shared" si="31"/>
        <v>#VALUE!</v>
      </c>
      <c r="AB125" s="24" t="e">
        <f t="shared" si="32"/>
        <v>#VALUE!</v>
      </c>
      <c r="AC125" s="24" t="e">
        <f t="shared" si="33"/>
        <v>#VALUE!</v>
      </c>
      <c r="AD125" s="24" t="e">
        <f t="shared" si="34"/>
        <v>#VALUE!</v>
      </c>
    </row>
    <row r="126" spans="2:30" ht="33" x14ac:dyDescent="0.2">
      <c r="B126" s="54" t="s">
        <v>212</v>
      </c>
      <c r="C126" s="68" t="s">
        <v>221</v>
      </c>
      <c r="D126" s="56" t="s">
        <v>222</v>
      </c>
      <c r="E126" s="74">
        <v>0</v>
      </c>
      <c r="F126" s="74">
        <v>0</v>
      </c>
      <c r="G126" s="74">
        <v>0</v>
      </c>
      <c r="H126" s="74">
        <v>0</v>
      </c>
      <c r="I126" s="74">
        <v>0</v>
      </c>
      <c r="J126" s="74">
        <v>0</v>
      </c>
      <c r="K126" s="74">
        <v>0</v>
      </c>
      <c r="L126" s="74">
        <v>0</v>
      </c>
      <c r="M126" s="74">
        <v>0</v>
      </c>
      <c r="N126" s="74">
        <v>0</v>
      </c>
      <c r="O126" s="74">
        <v>0</v>
      </c>
      <c r="P126" s="74">
        <v>0</v>
      </c>
      <c r="Q126" s="74">
        <v>0</v>
      </c>
      <c r="R126" s="74">
        <v>0</v>
      </c>
      <c r="S126" s="24" t="e">
        <f t="shared" si="23"/>
        <v>#DIV/0!</v>
      </c>
      <c r="T126" s="24" t="e">
        <f t="shared" si="24"/>
        <v>#DIV/0!</v>
      </c>
      <c r="U126" s="24" t="e">
        <f t="shared" si="25"/>
        <v>#DIV/0!</v>
      </c>
      <c r="V126" s="24" t="e">
        <f t="shared" si="26"/>
        <v>#DIV/0!</v>
      </c>
      <c r="W126" s="24" t="e">
        <f t="shared" si="27"/>
        <v>#DIV/0!</v>
      </c>
      <c r="X126" s="24" t="e">
        <f t="shared" si="28"/>
        <v>#DIV/0!</v>
      </c>
      <c r="Y126" s="24" t="e">
        <f t="shared" si="29"/>
        <v>#DIV/0!</v>
      </c>
      <c r="Z126" s="24" t="e">
        <f t="shared" si="30"/>
        <v>#DIV/0!</v>
      </c>
      <c r="AA126" s="24" t="e">
        <f t="shared" si="31"/>
        <v>#DIV/0!</v>
      </c>
      <c r="AB126" s="24" t="e">
        <f t="shared" si="32"/>
        <v>#DIV/0!</v>
      </c>
      <c r="AC126" s="24" t="e">
        <f t="shared" si="33"/>
        <v>#DIV/0!</v>
      </c>
      <c r="AD126" s="24" t="e">
        <f t="shared" si="34"/>
        <v>#DIV/0!</v>
      </c>
    </row>
    <row r="127" spans="2:30" ht="41.25" x14ac:dyDescent="0.2">
      <c r="B127" s="54" t="s">
        <v>212</v>
      </c>
      <c r="C127" s="66" t="s">
        <v>223</v>
      </c>
      <c r="D127" s="59" t="s">
        <v>224</v>
      </c>
      <c r="E127" s="67">
        <v>0</v>
      </c>
      <c r="F127" s="67">
        <v>0</v>
      </c>
      <c r="G127" s="67">
        <v>0</v>
      </c>
      <c r="H127" s="67">
        <v>0</v>
      </c>
      <c r="I127" s="67">
        <v>0</v>
      </c>
      <c r="J127" s="67">
        <v>0</v>
      </c>
      <c r="K127" s="67">
        <v>0</v>
      </c>
      <c r="L127" s="67">
        <v>0</v>
      </c>
      <c r="M127" s="67">
        <v>0</v>
      </c>
      <c r="N127" s="67">
        <v>0</v>
      </c>
      <c r="O127" s="67">
        <v>0</v>
      </c>
      <c r="P127" s="67">
        <v>0</v>
      </c>
      <c r="Q127" s="67">
        <v>0</v>
      </c>
      <c r="R127" s="67">
        <v>0</v>
      </c>
      <c r="S127" s="24" t="e">
        <f t="shared" si="23"/>
        <v>#DIV/0!</v>
      </c>
      <c r="T127" s="24" t="e">
        <f t="shared" si="24"/>
        <v>#DIV/0!</v>
      </c>
      <c r="U127" s="24" t="e">
        <f t="shared" si="25"/>
        <v>#DIV/0!</v>
      </c>
      <c r="V127" s="24" t="e">
        <f t="shared" si="26"/>
        <v>#DIV/0!</v>
      </c>
      <c r="W127" s="24" t="e">
        <f t="shared" si="27"/>
        <v>#DIV/0!</v>
      </c>
      <c r="X127" s="24" t="e">
        <f t="shared" si="28"/>
        <v>#DIV/0!</v>
      </c>
      <c r="Y127" s="24" t="e">
        <f t="shared" si="29"/>
        <v>#DIV/0!</v>
      </c>
      <c r="Z127" s="24" t="e">
        <f t="shared" si="30"/>
        <v>#DIV/0!</v>
      </c>
      <c r="AA127" s="24" t="e">
        <f t="shared" si="31"/>
        <v>#DIV/0!</v>
      </c>
      <c r="AB127" s="24" t="e">
        <f t="shared" si="32"/>
        <v>#DIV/0!</v>
      </c>
      <c r="AC127" s="24" t="e">
        <f t="shared" si="33"/>
        <v>#DIV/0!</v>
      </c>
      <c r="AD127" s="24" t="e">
        <f t="shared" si="34"/>
        <v>#DIV/0!</v>
      </c>
    </row>
    <row r="128" spans="2:30" ht="16.5" x14ac:dyDescent="0.2">
      <c r="B128" s="54" t="s">
        <v>212</v>
      </c>
      <c r="C128" s="56" t="s">
        <v>181</v>
      </c>
      <c r="D128" s="56" t="s">
        <v>182</v>
      </c>
      <c r="E128" s="62">
        <v>0</v>
      </c>
      <c r="F128" s="62">
        <v>0</v>
      </c>
      <c r="G128" s="62">
        <v>0</v>
      </c>
      <c r="H128" s="62">
        <v>0</v>
      </c>
      <c r="I128" s="62">
        <v>0</v>
      </c>
      <c r="J128" s="62">
        <v>0</v>
      </c>
      <c r="K128" s="62">
        <v>0</v>
      </c>
      <c r="L128" s="62">
        <v>0</v>
      </c>
      <c r="M128" s="62">
        <v>0</v>
      </c>
      <c r="N128" s="62">
        <v>0</v>
      </c>
      <c r="O128" s="62">
        <v>0</v>
      </c>
      <c r="P128" s="62">
        <v>0</v>
      </c>
      <c r="Q128" s="62">
        <v>0</v>
      </c>
      <c r="R128" s="62">
        <v>0</v>
      </c>
      <c r="S128" s="24" t="e">
        <f t="shared" si="23"/>
        <v>#DIV/0!</v>
      </c>
      <c r="T128" s="24" t="e">
        <f t="shared" si="24"/>
        <v>#DIV/0!</v>
      </c>
      <c r="U128" s="24" t="e">
        <f t="shared" si="25"/>
        <v>#DIV/0!</v>
      </c>
      <c r="V128" s="24" t="e">
        <f t="shared" si="26"/>
        <v>#DIV/0!</v>
      </c>
      <c r="W128" s="24" t="e">
        <f t="shared" si="27"/>
        <v>#DIV/0!</v>
      </c>
      <c r="X128" s="24" t="e">
        <f t="shared" si="28"/>
        <v>#DIV/0!</v>
      </c>
      <c r="Y128" s="24" t="e">
        <f t="shared" si="29"/>
        <v>#DIV/0!</v>
      </c>
      <c r="Z128" s="24" t="e">
        <f t="shared" si="30"/>
        <v>#DIV/0!</v>
      </c>
      <c r="AA128" s="24" t="e">
        <f t="shared" si="31"/>
        <v>#DIV/0!</v>
      </c>
      <c r="AB128" s="24" t="e">
        <f t="shared" si="32"/>
        <v>#DIV/0!</v>
      </c>
      <c r="AC128" s="24" t="e">
        <f t="shared" si="33"/>
        <v>#DIV/0!</v>
      </c>
      <c r="AD128" s="24" t="e">
        <f t="shared" si="34"/>
        <v>#DIV/0!</v>
      </c>
    </row>
    <row r="129" spans="2:30" ht="24.75" x14ac:dyDescent="0.2">
      <c r="B129" s="54" t="s">
        <v>212</v>
      </c>
      <c r="C129" s="66" t="s">
        <v>225</v>
      </c>
      <c r="D129" s="63" t="s">
        <v>226</v>
      </c>
      <c r="E129" s="67">
        <v>0</v>
      </c>
      <c r="F129" s="67">
        <v>0</v>
      </c>
      <c r="G129" s="67">
        <v>0</v>
      </c>
      <c r="H129" s="67">
        <v>0</v>
      </c>
      <c r="I129" s="67">
        <v>0</v>
      </c>
      <c r="J129" s="67">
        <v>0</v>
      </c>
      <c r="K129" s="67">
        <v>0</v>
      </c>
      <c r="L129" s="67">
        <v>0</v>
      </c>
      <c r="M129" s="67">
        <v>0</v>
      </c>
      <c r="N129" s="67">
        <v>0</v>
      </c>
      <c r="O129" s="67">
        <v>0</v>
      </c>
      <c r="P129" s="67">
        <v>0</v>
      </c>
      <c r="Q129" s="67">
        <v>0</v>
      </c>
      <c r="R129" s="67">
        <v>0</v>
      </c>
      <c r="S129" s="24" t="e">
        <f t="shared" si="23"/>
        <v>#DIV/0!</v>
      </c>
      <c r="T129" s="24" t="e">
        <f t="shared" si="24"/>
        <v>#DIV/0!</v>
      </c>
      <c r="U129" s="24" t="e">
        <f t="shared" si="25"/>
        <v>#DIV/0!</v>
      </c>
      <c r="V129" s="24" t="e">
        <f t="shared" si="26"/>
        <v>#DIV/0!</v>
      </c>
      <c r="W129" s="24" t="e">
        <f t="shared" si="27"/>
        <v>#DIV/0!</v>
      </c>
      <c r="X129" s="24" t="e">
        <f t="shared" si="28"/>
        <v>#DIV/0!</v>
      </c>
      <c r="Y129" s="24" t="e">
        <f t="shared" si="29"/>
        <v>#DIV/0!</v>
      </c>
      <c r="Z129" s="24" t="e">
        <f t="shared" si="30"/>
        <v>#DIV/0!</v>
      </c>
      <c r="AA129" s="24" t="e">
        <f t="shared" si="31"/>
        <v>#DIV/0!</v>
      </c>
      <c r="AB129" s="24" t="e">
        <f t="shared" si="32"/>
        <v>#DIV/0!</v>
      </c>
      <c r="AC129" s="24" t="e">
        <f t="shared" si="33"/>
        <v>#DIV/0!</v>
      </c>
      <c r="AD129" s="24" t="e">
        <f t="shared" si="34"/>
        <v>#DIV/0!</v>
      </c>
    </row>
    <row r="130" spans="2:30" ht="24.75" x14ac:dyDescent="0.2">
      <c r="B130" s="54" t="s">
        <v>212</v>
      </c>
      <c r="C130" s="68" t="s">
        <v>185</v>
      </c>
      <c r="D130" s="59" t="s">
        <v>227</v>
      </c>
      <c r="E130" s="61">
        <v>2846954633</v>
      </c>
      <c r="F130" s="61">
        <v>2846954633</v>
      </c>
      <c r="G130" s="61">
        <v>242200000</v>
      </c>
      <c r="H130" s="61">
        <v>263904633</v>
      </c>
      <c r="I130" s="61">
        <v>197875000</v>
      </c>
      <c r="J130" s="61">
        <v>253750000</v>
      </c>
      <c r="K130" s="61">
        <v>260725000</v>
      </c>
      <c r="L130" s="61">
        <v>196000000</v>
      </c>
      <c r="M130" s="61">
        <v>214525000</v>
      </c>
      <c r="N130" s="61">
        <v>259525000</v>
      </c>
      <c r="O130" s="61">
        <v>253750000</v>
      </c>
      <c r="P130" s="61">
        <v>260725000</v>
      </c>
      <c r="Q130" s="61">
        <v>363475000</v>
      </c>
      <c r="R130" s="61">
        <v>80500000</v>
      </c>
      <c r="S130" s="24">
        <f t="shared" si="23"/>
        <v>8.5073361265606096</v>
      </c>
      <c r="T130" s="24">
        <f t="shared" si="24"/>
        <v>9.2697168385120534</v>
      </c>
      <c r="U130" s="24">
        <f t="shared" si="25"/>
        <v>6.9504093147943049</v>
      </c>
      <c r="V130" s="24">
        <f t="shared" si="26"/>
        <v>8.9130327915555512</v>
      </c>
      <c r="W130" s="24">
        <f t="shared" si="27"/>
        <v>9.1580314269096394</v>
      </c>
      <c r="X130" s="24">
        <f t="shared" si="28"/>
        <v>6.8845494665808404</v>
      </c>
      <c r="Y130" s="24">
        <f t="shared" si="29"/>
        <v>7.5352447669298703</v>
      </c>
      <c r="Z130" s="24">
        <f t="shared" si="30"/>
        <v>9.115881124053022</v>
      </c>
      <c r="AA130" s="24">
        <f t="shared" si="31"/>
        <v>8.9130327915555512</v>
      </c>
      <c r="AB130" s="24">
        <f t="shared" si="32"/>
        <v>9.1580314269096394</v>
      </c>
      <c r="AC130" s="24">
        <f t="shared" si="33"/>
        <v>12.767151109007505</v>
      </c>
      <c r="AD130" s="24">
        <f t="shared" si="34"/>
        <v>2.8275828166314163</v>
      </c>
    </row>
    <row r="131" spans="2:30" ht="24.75" x14ac:dyDescent="0.2">
      <c r="B131" s="54" t="s">
        <v>212</v>
      </c>
      <c r="C131" s="66" t="s">
        <v>189</v>
      </c>
      <c r="D131" s="63" t="s">
        <v>228</v>
      </c>
      <c r="E131" s="67">
        <v>0</v>
      </c>
      <c r="F131" s="67">
        <v>0</v>
      </c>
      <c r="G131" s="67">
        <v>0</v>
      </c>
      <c r="H131" s="67">
        <v>0</v>
      </c>
      <c r="I131" s="67">
        <v>0</v>
      </c>
      <c r="J131" s="67">
        <v>0</v>
      </c>
      <c r="K131" s="67">
        <v>0</v>
      </c>
      <c r="L131" s="67">
        <v>0</v>
      </c>
      <c r="M131" s="67">
        <v>0</v>
      </c>
      <c r="N131" s="67">
        <v>0</v>
      </c>
      <c r="O131" s="67">
        <v>0</v>
      </c>
      <c r="P131" s="67">
        <v>0</v>
      </c>
      <c r="Q131" s="67">
        <v>0</v>
      </c>
      <c r="R131" s="67">
        <v>0</v>
      </c>
      <c r="S131" s="24" t="e">
        <f t="shared" si="23"/>
        <v>#DIV/0!</v>
      </c>
      <c r="T131" s="24" t="e">
        <f t="shared" si="24"/>
        <v>#DIV/0!</v>
      </c>
      <c r="U131" s="24" t="e">
        <f t="shared" si="25"/>
        <v>#DIV/0!</v>
      </c>
      <c r="V131" s="24" t="e">
        <f t="shared" si="26"/>
        <v>#DIV/0!</v>
      </c>
      <c r="W131" s="24" t="e">
        <f t="shared" si="27"/>
        <v>#DIV/0!</v>
      </c>
      <c r="X131" s="24" t="e">
        <f t="shared" si="28"/>
        <v>#DIV/0!</v>
      </c>
      <c r="Y131" s="24" t="e">
        <f t="shared" si="29"/>
        <v>#DIV/0!</v>
      </c>
      <c r="Z131" s="24" t="e">
        <f t="shared" si="30"/>
        <v>#DIV/0!</v>
      </c>
      <c r="AA131" s="24" t="e">
        <f t="shared" si="31"/>
        <v>#DIV/0!</v>
      </c>
      <c r="AB131" s="24" t="e">
        <f t="shared" si="32"/>
        <v>#DIV/0!</v>
      </c>
      <c r="AC131" s="24" t="e">
        <f t="shared" si="33"/>
        <v>#DIV/0!</v>
      </c>
      <c r="AD131" s="24" t="e">
        <f t="shared" si="34"/>
        <v>#DIV/0!</v>
      </c>
    </row>
    <row r="132" spans="2:30" ht="16.5" x14ac:dyDescent="0.2">
      <c r="B132" s="54" t="s">
        <v>212</v>
      </c>
      <c r="C132" s="66" t="s">
        <v>195</v>
      </c>
      <c r="D132" s="59" t="s">
        <v>196</v>
      </c>
      <c r="E132" s="69">
        <v>2846954633</v>
      </c>
      <c r="F132" s="69">
        <v>2846954633</v>
      </c>
      <c r="G132" s="69">
        <v>242200000</v>
      </c>
      <c r="H132" s="69">
        <v>263904633</v>
      </c>
      <c r="I132" s="69">
        <v>197875000</v>
      </c>
      <c r="J132" s="69">
        <v>253750000</v>
      </c>
      <c r="K132" s="69">
        <v>260725000</v>
      </c>
      <c r="L132" s="69">
        <v>196000000</v>
      </c>
      <c r="M132" s="69">
        <v>214525000</v>
      </c>
      <c r="N132" s="69">
        <v>259525000</v>
      </c>
      <c r="O132" s="69">
        <v>253750000</v>
      </c>
      <c r="P132" s="69">
        <v>260725000</v>
      </c>
      <c r="Q132" s="69">
        <v>363475000</v>
      </c>
      <c r="R132" s="69">
        <v>80500000</v>
      </c>
      <c r="S132" s="24">
        <f t="shared" si="23"/>
        <v>8.5073361265606096</v>
      </c>
      <c r="T132" s="24">
        <f t="shared" si="24"/>
        <v>9.2697168385120534</v>
      </c>
      <c r="U132" s="24">
        <f t="shared" si="25"/>
        <v>6.9504093147943049</v>
      </c>
      <c r="V132" s="24">
        <f t="shared" si="26"/>
        <v>8.9130327915555512</v>
      </c>
      <c r="W132" s="24">
        <f t="shared" si="27"/>
        <v>9.1580314269096394</v>
      </c>
      <c r="X132" s="24">
        <f t="shared" si="28"/>
        <v>6.8845494665808404</v>
      </c>
      <c r="Y132" s="24">
        <f t="shared" si="29"/>
        <v>7.5352447669298703</v>
      </c>
      <c r="Z132" s="24">
        <f t="shared" si="30"/>
        <v>9.115881124053022</v>
      </c>
      <c r="AA132" s="24">
        <f t="shared" si="31"/>
        <v>8.9130327915555512</v>
      </c>
      <c r="AB132" s="24">
        <f t="shared" si="32"/>
        <v>9.1580314269096394</v>
      </c>
      <c r="AC132" s="24">
        <f t="shared" si="33"/>
        <v>12.767151109007505</v>
      </c>
      <c r="AD132" s="24">
        <f t="shared" si="34"/>
        <v>2.8275828166314163</v>
      </c>
    </row>
  </sheetData>
  <mergeCells count="82">
    <mergeCell ref="M18:R18"/>
    <mergeCell ref="G19:I19"/>
    <mergeCell ref="J19:L19"/>
    <mergeCell ref="M19:O19"/>
    <mergeCell ref="P19:R19"/>
    <mergeCell ref="C18:C20"/>
    <mergeCell ref="D18:D20"/>
    <mergeCell ref="E18:E20"/>
    <mergeCell ref="F18:F20"/>
    <mergeCell ref="G18:L18"/>
    <mergeCell ref="C42:C44"/>
    <mergeCell ref="D42:D44"/>
    <mergeCell ref="E42:E44"/>
    <mergeCell ref="F42:F44"/>
    <mergeCell ref="G42:L42"/>
    <mergeCell ref="M42:R42"/>
    <mergeCell ref="G43:I43"/>
    <mergeCell ref="J43:L43"/>
    <mergeCell ref="M43:O43"/>
    <mergeCell ref="P43:R43"/>
    <mergeCell ref="C64:C66"/>
    <mergeCell ref="D64:D66"/>
    <mergeCell ref="E64:E66"/>
    <mergeCell ref="F64:F66"/>
    <mergeCell ref="G64:L64"/>
    <mergeCell ref="M64:R64"/>
    <mergeCell ref="G65:I65"/>
    <mergeCell ref="J65:L65"/>
    <mergeCell ref="M65:O65"/>
    <mergeCell ref="P65:R65"/>
    <mergeCell ref="C80:C82"/>
    <mergeCell ref="D80:D82"/>
    <mergeCell ref="E80:E82"/>
    <mergeCell ref="F80:F82"/>
    <mergeCell ref="G80:L80"/>
    <mergeCell ref="M80:R80"/>
    <mergeCell ref="G81:I81"/>
    <mergeCell ref="J81:L81"/>
    <mergeCell ref="M81:O81"/>
    <mergeCell ref="P81:R81"/>
    <mergeCell ref="C101:C103"/>
    <mergeCell ref="D101:D103"/>
    <mergeCell ref="E101:E103"/>
    <mergeCell ref="F101:F103"/>
    <mergeCell ref="G101:L101"/>
    <mergeCell ref="M101:R101"/>
    <mergeCell ref="G102:I102"/>
    <mergeCell ref="J102:L102"/>
    <mergeCell ref="M102:O102"/>
    <mergeCell ref="P102:R102"/>
    <mergeCell ref="C123:C125"/>
    <mergeCell ref="D123:D125"/>
    <mergeCell ref="E123:E125"/>
    <mergeCell ref="F123:F125"/>
    <mergeCell ref="G123:L123"/>
    <mergeCell ref="M123:R123"/>
    <mergeCell ref="G124:I124"/>
    <mergeCell ref="J124:L124"/>
    <mergeCell ref="M124:O124"/>
    <mergeCell ref="P124:R124"/>
    <mergeCell ref="B3:B5"/>
    <mergeCell ref="B1:R1"/>
    <mergeCell ref="A3:A5"/>
    <mergeCell ref="G2:R2"/>
    <mergeCell ref="C3:C5"/>
    <mergeCell ref="D3:D5"/>
    <mergeCell ref="E3:E5"/>
    <mergeCell ref="F3:F5"/>
    <mergeCell ref="G3:L3"/>
    <mergeCell ref="M3:R3"/>
    <mergeCell ref="G4:I4"/>
    <mergeCell ref="J4:L4"/>
    <mergeCell ref="M4:O4"/>
    <mergeCell ref="P4:R4"/>
    <mergeCell ref="C6:R6"/>
    <mergeCell ref="S2:AD2"/>
    <mergeCell ref="S3:X3"/>
    <mergeCell ref="Y3:AD3"/>
    <mergeCell ref="S4:U4"/>
    <mergeCell ref="V4:X4"/>
    <mergeCell ref="Y4:AA4"/>
    <mergeCell ref="AB4:AD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zoomScale="115" zoomScaleNormal="115" workbookViewId="0">
      <selection activeCell="I21" sqref="I21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12.6" customHeight="1" x14ac:dyDescent="0.2">
      <c r="B1" s="47" t="s">
        <v>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8"/>
      <c r="S1" s="7"/>
    </row>
    <row r="2" spans="1:30" ht="12.6" customHeight="1" x14ac:dyDescent="0.2">
      <c r="B2" s="23"/>
      <c r="C2" s="23"/>
      <c r="D2" s="23"/>
      <c r="E2" s="23"/>
      <c r="F2" s="23"/>
      <c r="G2" s="49" t="s">
        <v>27</v>
      </c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  <c r="S2" s="49" t="s">
        <v>28</v>
      </c>
      <c r="T2" s="49"/>
      <c r="U2" s="49"/>
      <c r="V2" s="49"/>
      <c r="W2" s="49"/>
      <c r="X2" s="49"/>
      <c r="Y2" s="49"/>
      <c r="Z2" s="49"/>
      <c r="AA2" s="49"/>
      <c r="AB2" s="49"/>
      <c r="AC2" s="49"/>
      <c r="AD2" s="50"/>
    </row>
    <row r="3" spans="1:30" s="2" customFormat="1" ht="13.35" customHeight="1" x14ac:dyDescent="0.2">
      <c r="A3" s="20" t="s">
        <v>26</v>
      </c>
      <c r="B3" s="20" t="s">
        <v>2</v>
      </c>
      <c r="C3" s="15"/>
      <c r="D3" s="17"/>
      <c r="E3" s="17"/>
      <c r="F3" s="17"/>
      <c r="G3" s="9" t="s">
        <v>9</v>
      </c>
      <c r="H3" s="10"/>
      <c r="I3" s="11"/>
      <c r="J3" s="9" t="s">
        <v>10</v>
      </c>
      <c r="K3" s="10"/>
      <c r="L3" s="11"/>
      <c r="M3" s="9" t="s">
        <v>11</v>
      </c>
      <c r="N3" s="10"/>
      <c r="O3" s="11"/>
      <c r="P3" s="9" t="s">
        <v>12</v>
      </c>
      <c r="Q3" s="10"/>
      <c r="R3" s="11"/>
      <c r="S3" s="9" t="s">
        <v>9</v>
      </c>
      <c r="T3" s="10"/>
      <c r="U3" s="11"/>
      <c r="V3" s="9" t="s">
        <v>10</v>
      </c>
      <c r="W3" s="10"/>
      <c r="X3" s="11"/>
      <c r="Y3" s="9" t="s">
        <v>11</v>
      </c>
      <c r="Z3" s="10"/>
      <c r="AA3" s="11"/>
      <c r="AB3" s="9" t="s">
        <v>12</v>
      </c>
      <c r="AC3" s="10"/>
      <c r="AD3" s="11"/>
    </row>
    <row r="4" spans="1:30" s="2" customFormat="1" ht="12.6" customHeight="1" x14ac:dyDescent="0.2">
      <c r="A4" s="20"/>
      <c r="B4" s="20"/>
      <c r="C4" s="16"/>
      <c r="D4" s="18"/>
      <c r="E4" s="18"/>
      <c r="F4" s="18"/>
      <c r="G4" s="3" t="s">
        <v>13</v>
      </c>
      <c r="H4" s="4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3" t="s">
        <v>13</v>
      </c>
      <c r="T4" s="4" t="s">
        <v>14</v>
      </c>
      <c r="U4" s="3" t="s">
        <v>15</v>
      </c>
      <c r="V4" s="3" t="s">
        <v>16</v>
      </c>
      <c r="W4" s="3" t="s">
        <v>17</v>
      </c>
      <c r="X4" s="3" t="s">
        <v>18</v>
      </c>
      <c r="Y4" s="3" t="s">
        <v>19</v>
      </c>
      <c r="Z4" s="4" t="s">
        <v>20</v>
      </c>
      <c r="AA4" s="4" t="s">
        <v>21</v>
      </c>
      <c r="AB4" s="4" t="s">
        <v>22</v>
      </c>
      <c r="AC4" s="4" t="s">
        <v>23</v>
      </c>
      <c r="AD4" s="4" t="s">
        <v>24</v>
      </c>
    </row>
    <row r="5" spans="1:30" s="2" customFormat="1" ht="22.5" customHeight="1" x14ac:dyDescent="0.2">
      <c r="A5" s="20"/>
      <c r="B5" s="20"/>
      <c r="C5" s="21" t="s">
        <v>25</v>
      </c>
      <c r="D5" s="22"/>
      <c r="E5" s="5">
        <v>178160044215</v>
      </c>
      <c r="F5" s="6">
        <v>178160044215</v>
      </c>
      <c r="G5" s="12">
        <v>40264011333</v>
      </c>
      <c r="H5" s="13"/>
      <c r="I5" s="14"/>
      <c r="J5" s="12">
        <v>43623033473</v>
      </c>
      <c r="K5" s="13"/>
      <c r="L5" s="14"/>
      <c r="M5" s="12">
        <v>34541452721</v>
      </c>
      <c r="N5" s="13"/>
      <c r="O5" s="14"/>
      <c r="P5" s="12">
        <v>59731546688</v>
      </c>
      <c r="Q5" s="13"/>
      <c r="R5" s="14"/>
      <c r="S5" s="25" t="s">
        <v>30</v>
      </c>
      <c r="T5" s="25" t="s">
        <v>29</v>
      </c>
      <c r="U5" s="25" t="s">
        <v>31</v>
      </c>
      <c r="V5" s="25" t="s">
        <v>16</v>
      </c>
      <c r="W5" s="25" t="s">
        <v>32</v>
      </c>
      <c r="X5" s="25" t="s">
        <v>33</v>
      </c>
      <c r="Y5" s="25" t="s">
        <v>34</v>
      </c>
      <c r="Z5" s="25" t="s">
        <v>35</v>
      </c>
      <c r="AA5" s="25" t="s">
        <v>21</v>
      </c>
      <c r="AB5" s="25" t="s">
        <v>36</v>
      </c>
      <c r="AC5" s="25" t="s">
        <v>23</v>
      </c>
      <c r="AD5" s="25" t="s">
        <v>37</v>
      </c>
    </row>
    <row r="6" spans="1:30" x14ac:dyDescent="0.2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24" t="e">
        <f>G6/$E$6*100</f>
        <v>#DIV/0!</v>
      </c>
      <c r="T6" s="24" t="e">
        <f t="shared" ref="T6:AD6" si="0">H6/$E$6*100</f>
        <v>#DIV/0!</v>
      </c>
      <c r="U6" s="24" t="e">
        <f t="shared" si="0"/>
        <v>#DIV/0!</v>
      </c>
      <c r="V6" s="24" t="e">
        <f t="shared" si="0"/>
        <v>#DIV/0!</v>
      </c>
      <c r="W6" s="24" t="e">
        <f t="shared" si="0"/>
        <v>#DIV/0!</v>
      </c>
      <c r="X6" s="24" t="e">
        <f t="shared" si="0"/>
        <v>#DIV/0!</v>
      </c>
      <c r="Y6" s="24" t="e">
        <f t="shared" si="0"/>
        <v>#DIV/0!</v>
      </c>
      <c r="Z6" s="24" t="e">
        <f t="shared" si="0"/>
        <v>#DIV/0!</v>
      </c>
      <c r="AA6" s="24" t="e">
        <f t="shared" si="0"/>
        <v>#DIV/0!</v>
      </c>
      <c r="AB6" s="24" t="e">
        <f t="shared" si="0"/>
        <v>#DIV/0!</v>
      </c>
      <c r="AC6" s="24" t="e">
        <f t="shared" si="0"/>
        <v>#DIV/0!</v>
      </c>
      <c r="AD6" s="24" t="e">
        <f t="shared" si="0"/>
        <v>#DIV/0!</v>
      </c>
    </row>
  </sheetData>
  <mergeCells count="3">
    <mergeCell ref="B1:R1"/>
    <mergeCell ref="G2:R2"/>
    <mergeCell ref="S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Penatausahaan</dc:title>
  <dc:creator>IT - Hamid Septian</dc:creator>
  <cp:lastModifiedBy>IT - Hamid Septian</cp:lastModifiedBy>
  <dcterms:created xsi:type="dcterms:W3CDTF">2025-12-16T04:19:25Z</dcterms:created>
  <dcterms:modified xsi:type="dcterms:W3CDTF">2026-01-23T08:57:58Z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2025-10-13T00:00:00Z</vt:filetime>
  </property>
  <property fmtid="{D5CDD505-2E9C-101B-9397-08002B2CF9AE}" pid="3" name="Creator">
    <vt:lpwstr>Mozilla/5.0 (Windows NT 10.0; Win64; x64) AppleWebKit/537.36 (KHTML, like Gecko) Chrome/141.0.0.0 Safari/537.36</vt:lpwstr>
  </property>
  <property fmtid="{D5CDD505-2E9C-101B-9397-08002B2CF9AE}" pid="4" name="LastSaved">
    <vt:filetime>2025-12-16T00:00:00Z</vt:filetime>
  </property>
  <property fmtid="{D5CDD505-2E9C-101B-9397-08002B2CF9AE}" pid="5" name="Producer">
    <vt:lpwstr>Skia/PDF m141</vt:lpwstr>
  </property>
</Properties>
</file>