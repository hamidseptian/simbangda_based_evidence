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le Hamid\D\DPA\Upload ke SBE\Excel - Export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7" i="1" l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S9" i="1"/>
  <c r="T9" i="1"/>
  <c r="U9" i="1"/>
  <c r="V9" i="1"/>
  <c r="W9" i="1"/>
  <c r="X9" i="1"/>
  <c r="Y9" i="1"/>
  <c r="Z9" i="1"/>
  <c r="AA9" i="1"/>
  <c r="AB9" i="1"/>
  <c r="AC9" i="1"/>
  <c r="AD9" i="1"/>
  <c r="S10" i="1"/>
  <c r="T10" i="1"/>
  <c r="U10" i="1"/>
  <c r="V10" i="1"/>
  <c r="W10" i="1"/>
  <c r="X10" i="1"/>
  <c r="Y10" i="1"/>
  <c r="Z10" i="1"/>
  <c r="AA10" i="1"/>
  <c r="AB10" i="1"/>
  <c r="AC10" i="1"/>
  <c r="AD10" i="1"/>
  <c r="S11" i="1"/>
  <c r="T11" i="1"/>
  <c r="U11" i="1"/>
  <c r="V11" i="1"/>
  <c r="W11" i="1"/>
  <c r="X11" i="1"/>
  <c r="Y11" i="1"/>
  <c r="Z11" i="1"/>
  <c r="AA11" i="1"/>
  <c r="AB11" i="1"/>
  <c r="AC11" i="1"/>
  <c r="AD11" i="1"/>
  <c r="S12" i="1"/>
  <c r="T12" i="1"/>
  <c r="U12" i="1"/>
  <c r="V12" i="1"/>
  <c r="W12" i="1"/>
  <c r="X12" i="1"/>
  <c r="Y12" i="1"/>
  <c r="Z12" i="1"/>
  <c r="AA12" i="1"/>
  <c r="AB12" i="1"/>
  <c r="AC12" i="1"/>
  <c r="AD12" i="1"/>
  <c r="S13" i="1"/>
  <c r="T13" i="1"/>
  <c r="U13" i="1"/>
  <c r="V13" i="1"/>
  <c r="W13" i="1"/>
  <c r="X13" i="1"/>
  <c r="Y13" i="1"/>
  <c r="Z13" i="1"/>
  <c r="AA13" i="1"/>
  <c r="AB13" i="1"/>
  <c r="AC13" i="1"/>
  <c r="AD13" i="1"/>
  <c r="S14" i="1"/>
  <c r="T14" i="1"/>
  <c r="U14" i="1"/>
  <c r="V14" i="1"/>
  <c r="W14" i="1"/>
  <c r="X14" i="1"/>
  <c r="Y14" i="1"/>
  <c r="Z14" i="1"/>
  <c r="AA14" i="1"/>
  <c r="AB14" i="1"/>
  <c r="AC14" i="1"/>
  <c r="AD14" i="1"/>
  <c r="S15" i="1"/>
  <c r="T15" i="1"/>
  <c r="U15" i="1"/>
  <c r="V15" i="1"/>
  <c r="W15" i="1"/>
  <c r="X15" i="1"/>
  <c r="Y15" i="1"/>
  <c r="Z15" i="1"/>
  <c r="AA15" i="1"/>
  <c r="AB15" i="1"/>
  <c r="AC15" i="1"/>
  <c r="AD15" i="1"/>
  <c r="S16" i="1"/>
  <c r="T16" i="1"/>
  <c r="U16" i="1"/>
  <c r="V16" i="1"/>
  <c r="W16" i="1"/>
  <c r="X16" i="1"/>
  <c r="Y16" i="1"/>
  <c r="Z16" i="1"/>
  <c r="AA16" i="1"/>
  <c r="AB16" i="1"/>
  <c r="AC16" i="1"/>
  <c r="AD16" i="1"/>
  <c r="S17" i="1"/>
  <c r="T17" i="1"/>
  <c r="U17" i="1"/>
  <c r="V17" i="1"/>
  <c r="W17" i="1"/>
  <c r="X17" i="1"/>
  <c r="Y17" i="1"/>
  <c r="Z17" i="1"/>
  <c r="AA17" i="1"/>
  <c r="AB17" i="1"/>
  <c r="AC17" i="1"/>
  <c r="AD17" i="1"/>
  <c r="S18" i="1"/>
  <c r="T18" i="1"/>
  <c r="U18" i="1"/>
  <c r="V18" i="1"/>
  <c r="W18" i="1"/>
  <c r="X18" i="1"/>
  <c r="Y18" i="1"/>
  <c r="Z18" i="1"/>
  <c r="AA18" i="1"/>
  <c r="AB18" i="1"/>
  <c r="AC18" i="1"/>
  <c r="AD18" i="1"/>
  <c r="S19" i="1"/>
  <c r="T19" i="1"/>
  <c r="U19" i="1"/>
  <c r="V19" i="1"/>
  <c r="W19" i="1"/>
  <c r="X19" i="1"/>
  <c r="Y19" i="1"/>
  <c r="Z19" i="1"/>
  <c r="AA19" i="1"/>
  <c r="AB19" i="1"/>
  <c r="AC19" i="1"/>
  <c r="AD19" i="1"/>
  <c r="S20" i="1"/>
  <c r="T20" i="1"/>
  <c r="U20" i="1"/>
  <c r="V20" i="1"/>
  <c r="W20" i="1"/>
  <c r="X20" i="1"/>
  <c r="Y20" i="1"/>
  <c r="Z20" i="1"/>
  <c r="AA20" i="1"/>
  <c r="AB20" i="1"/>
  <c r="AC20" i="1"/>
  <c r="AD20" i="1"/>
  <c r="S21" i="1"/>
  <c r="T21" i="1"/>
  <c r="U21" i="1"/>
  <c r="V21" i="1"/>
  <c r="W21" i="1"/>
  <c r="X21" i="1"/>
  <c r="Y21" i="1"/>
  <c r="Z21" i="1"/>
  <c r="AA21" i="1"/>
  <c r="AB21" i="1"/>
  <c r="AC21" i="1"/>
  <c r="AD21" i="1"/>
  <c r="S22" i="1"/>
  <c r="T22" i="1"/>
  <c r="U22" i="1"/>
  <c r="V22" i="1"/>
  <c r="W22" i="1"/>
  <c r="X22" i="1"/>
  <c r="Y22" i="1"/>
  <c r="Z22" i="1"/>
  <c r="AA22" i="1"/>
  <c r="AB22" i="1"/>
  <c r="AC22" i="1"/>
  <c r="AD22" i="1"/>
  <c r="S23" i="1"/>
  <c r="T23" i="1"/>
  <c r="U23" i="1"/>
  <c r="V23" i="1"/>
  <c r="W23" i="1"/>
  <c r="X23" i="1"/>
  <c r="Y23" i="1"/>
  <c r="Z23" i="1"/>
  <c r="AA23" i="1"/>
  <c r="AB23" i="1"/>
  <c r="AC23" i="1"/>
  <c r="AD23" i="1"/>
  <c r="S24" i="1"/>
  <c r="T24" i="1"/>
  <c r="U24" i="1"/>
  <c r="V24" i="1"/>
  <c r="W24" i="1"/>
  <c r="X24" i="1"/>
  <c r="Y24" i="1"/>
  <c r="Z24" i="1"/>
  <c r="AA24" i="1"/>
  <c r="AB24" i="1"/>
  <c r="AC24" i="1"/>
  <c r="AD24" i="1"/>
  <c r="S25" i="1"/>
  <c r="T25" i="1"/>
  <c r="U25" i="1"/>
  <c r="V25" i="1"/>
  <c r="W25" i="1"/>
  <c r="X25" i="1"/>
  <c r="Y25" i="1"/>
  <c r="Z25" i="1"/>
  <c r="AA25" i="1"/>
  <c r="AB25" i="1"/>
  <c r="AC25" i="1"/>
  <c r="AD25" i="1"/>
  <c r="S26" i="1"/>
  <c r="T26" i="1"/>
  <c r="U26" i="1"/>
  <c r="V26" i="1"/>
  <c r="W26" i="1"/>
  <c r="X26" i="1"/>
  <c r="Y26" i="1"/>
  <c r="Z26" i="1"/>
  <c r="AA26" i="1"/>
  <c r="AB26" i="1"/>
  <c r="AC26" i="1"/>
  <c r="AD26" i="1"/>
  <c r="S27" i="1"/>
  <c r="T27" i="1"/>
  <c r="U27" i="1"/>
  <c r="V27" i="1"/>
  <c r="W27" i="1"/>
  <c r="X27" i="1"/>
  <c r="Y27" i="1"/>
  <c r="Z27" i="1"/>
  <c r="AA27" i="1"/>
  <c r="AB27" i="1"/>
  <c r="AC27" i="1"/>
  <c r="AD27" i="1"/>
  <c r="S28" i="1"/>
  <c r="T28" i="1"/>
  <c r="U28" i="1"/>
  <c r="V28" i="1"/>
  <c r="W28" i="1"/>
  <c r="X28" i="1"/>
  <c r="Y28" i="1"/>
  <c r="Z28" i="1"/>
  <c r="AA28" i="1"/>
  <c r="AB28" i="1"/>
  <c r="AC28" i="1"/>
  <c r="AD28" i="1"/>
  <c r="S29" i="1"/>
  <c r="T29" i="1"/>
  <c r="U29" i="1"/>
  <c r="V29" i="1"/>
  <c r="W29" i="1"/>
  <c r="X29" i="1"/>
  <c r="Y29" i="1"/>
  <c r="Z29" i="1"/>
  <c r="AA29" i="1"/>
  <c r="AB29" i="1"/>
  <c r="AC29" i="1"/>
  <c r="AD29" i="1"/>
  <c r="S30" i="1"/>
  <c r="T30" i="1"/>
  <c r="U30" i="1"/>
  <c r="V30" i="1"/>
  <c r="W30" i="1"/>
  <c r="X30" i="1"/>
  <c r="Y30" i="1"/>
  <c r="Z30" i="1"/>
  <c r="AA30" i="1"/>
  <c r="AB30" i="1"/>
  <c r="AC30" i="1"/>
  <c r="AD30" i="1"/>
  <c r="S31" i="1"/>
  <c r="T31" i="1"/>
  <c r="U31" i="1"/>
  <c r="V31" i="1"/>
  <c r="W31" i="1"/>
  <c r="X31" i="1"/>
  <c r="Y31" i="1"/>
  <c r="Z31" i="1"/>
  <c r="AA31" i="1"/>
  <c r="AB31" i="1"/>
  <c r="AC31" i="1"/>
  <c r="AD31" i="1"/>
  <c r="S32" i="1"/>
  <c r="T32" i="1"/>
  <c r="U32" i="1"/>
  <c r="V32" i="1"/>
  <c r="W32" i="1"/>
  <c r="X32" i="1"/>
  <c r="Y32" i="1"/>
  <c r="Z32" i="1"/>
  <c r="AA32" i="1"/>
  <c r="AB32" i="1"/>
  <c r="AC32" i="1"/>
  <c r="AD32" i="1"/>
  <c r="S33" i="1"/>
  <c r="T33" i="1"/>
  <c r="U33" i="1"/>
  <c r="V33" i="1"/>
  <c r="W33" i="1"/>
  <c r="X33" i="1"/>
  <c r="Y33" i="1"/>
  <c r="Z33" i="1"/>
  <c r="AA33" i="1"/>
  <c r="AB33" i="1"/>
  <c r="AC33" i="1"/>
  <c r="AD33" i="1"/>
  <c r="S34" i="1"/>
  <c r="T34" i="1"/>
  <c r="U34" i="1"/>
  <c r="V34" i="1"/>
  <c r="W34" i="1"/>
  <c r="X34" i="1"/>
  <c r="Y34" i="1"/>
  <c r="Z34" i="1"/>
  <c r="AA34" i="1"/>
  <c r="AB34" i="1"/>
  <c r="AC34" i="1"/>
  <c r="AD34" i="1"/>
  <c r="S35" i="1"/>
  <c r="T35" i="1"/>
  <c r="U35" i="1"/>
  <c r="V35" i="1"/>
  <c r="W35" i="1"/>
  <c r="X35" i="1"/>
  <c r="Y35" i="1"/>
  <c r="Z35" i="1"/>
  <c r="AA35" i="1"/>
  <c r="AB35" i="1"/>
  <c r="AC35" i="1"/>
  <c r="AD35" i="1"/>
  <c r="S36" i="1"/>
  <c r="T36" i="1"/>
  <c r="U36" i="1"/>
  <c r="V36" i="1"/>
  <c r="W36" i="1"/>
  <c r="X36" i="1"/>
  <c r="Y36" i="1"/>
  <c r="Z36" i="1"/>
  <c r="AA36" i="1"/>
  <c r="AB36" i="1"/>
  <c r="AC36" i="1"/>
  <c r="AD36" i="1"/>
  <c r="S37" i="1"/>
  <c r="T37" i="1"/>
  <c r="U37" i="1"/>
  <c r="V37" i="1"/>
  <c r="W37" i="1"/>
  <c r="X37" i="1"/>
  <c r="Y37" i="1"/>
  <c r="Z37" i="1"/>
  <c r="AA37" i="1"/>
  <c r="AB37" i="1"/>
  <c r="AC37" i="1"/>
  <c r="AD37" i="1"/>
  <c r="S38" i="1"/>
  <c r="T38" i="1"/>
  <c r="U38" i="1"/>
  <c r="V38" i="1"/>
  <c r="W38" i="1"/>
  <c r="X38" i="1"/>
  <c r="Y38" i="1"/>
  <c r="Z38" i="1"/>
  <c r="AA38" i="1"/>
  <c r="AB38" i="1"/>
  <c r="AC38" i="1"/>
  <c r="AD38" i="1"/>
  <c r="S39" i="1"/>
  <c r="T39" i="1"/>
  <c r="U39" i="1"/>
  <c r="V39" i="1"/>
  <c r="W39" i="1"/>
  <c r="X39" i="1"/>
  <c r="Y39" i="1"/>
  <c r="Z39" i="1"/>
  <c r="AA39" i="1"/>
  <c r="AB39" i="1"/>
  <c r="AC39" i="1"/>
  <c r="AD39" i="1"/>
  <c r="S40" i="1"/>
  <c r="T40" i="1"/>
  <c r="U40" i="1"/>
  <c r="V40" i="1"/>
  <c r="W40" i="1"/>
  <c r="X40" i="1"/>
  <c r="Y40" i="1"/>
  <c r="Z40" i="1"/>
  <c r="AA40" i="1"/>
  <c r="AB40" i="1"/>
  <c r="AC40" i="1"/>
  <c r="AD40" i="1"/>
  <c r="S41" i="1"/>
  <c r="T41" i="1"/>
  <c r="U41" i="1"/>
  <c r="V41" i="1"/>
  <c r="W41" i="1"/>
  <c r="X41" i="1"/>
  <c r="Y41" i="1"/>
  <c r="Z41" i="1"/>
  <c r="AA41" i="1"/>
  <c r="AB41" i="1"/>
  <c r="AC41" i="1"/>
  <c r="AD41" i="1"/>
  <c r="S42" i="1"/>
  <c r="T42" i="1"/>
  <c r="U42" i="1"/>
  <c r="V42" i="1"/>
  <c r="W42" i="1"/>
  <c r="X42" i="1"/>
  <c r="Y42" i="1"/>
  <c r="Z42" i="1"/>
  <c r="AA42" i="1"/>
  <c r="AB42" i="1"/>
  <c r="AC42" i="1"/>
  <c r="AD42" i="1"/>
  <c r="S43" i="1"/>
  <c r="T43" i="1"/>
  <c r="U43" i="1"/>
  <c r="V43" i="1"/>
  <c r="W43" i="1"/>
  <c r="X43" i="1"/>
  <c r="Y43" i="1"/>
  <c r="Z43" i="1"/>
  <c r="AA43" i="1"/>
  <c r="AB43" i="1"/>
  <c r="AC43" i="1"/>
  <c r="AD43" i="1"/>
  <c r="S44" i="1"/>
  <c r="T44" i="1"/>
  <c r="U44" i="1"/>
  <c r="V44" i="1"/>
  <c r="W44" i="1"/>
  <c r="X44" i="1"/>
  <c r="Y44" i="1"/>
  <c r="Z44" i="1"/>
  <c r="AA44" i="1"/>
  <c r="AB44" i="1"/>
  <c r="AC44" i="1"/>
  <c r="AD44" i="1"/>
  <c r="S45" i="1"/>
  <c r="T45" i="1"/>
  <c r="U45" i="1"/>
  <c r="V45" i="1"/>
  <c r="W45" i="1"/>
  <c r="X45" i="1"/>
  <c r="Y45" i="1"/>
  <c r="Z45" i="1"/>
  <c r="AA45" i="1"/>
  <c r="AB45" i="1"/>
  <c r="AC45" i="1"/>
  <c r="AD45" i="1"/>
  <c r="S46" i="1"/>
  <c r="T46" i="1"/>
  <c r="U46" i="1"/>
  <c r="V46" i="1"/>
  <c r="W46" i="1"/>
  <c r="X46" i="1"/>
  <c r="Y46" i="1"/>
  <c r="Z46" i="1"/>
  <c r="AA46" i="1"/>
  <c r="AB46" i="1"/>
  <c r="AC46" i="1"/>
  <c r="AD46" i="1"/>
  <c r="S47" i="1"/>
  <c r="T47" i="1"/>
  <c r="U47" i="1"/>
  <c r="V47" i="1"/>
  <c r="W47" i="1"/>
  <c r="X47" i="1"/>
  <c r="Y47" i="1"/>
  <c r="Z47" i="1"/>
  <c r="AA47" i="1"/>
  <c r="AB47" i="1"/>
  <c r="AC47" i="1"/>
  <c r="AD47" i="1"/>
  <c r="S48" i="1"/>
  <c r="T48" i="1"/>
  <c r="U48" i="1"/>
  <c r="V48" i="1"/>
  <c r="W48" i="1"/>
  <c r="X48" i="1"/>
  <c r="Y48" i="1"/>
  <c r="Z48" i="1"/>
  <c r="AA48" i="1"/>
  <c r="AB48" i="1"/>
  <c r="AC48" i="1"/>
  <c r="AD48" i="1"/>
  <c r="S49" i="1"/>
  <c r="T49" i="1"/>
  <c r="U49" i="1"/>
  <c r="V49" i="1"/>
  <c r="W49" i="1"/>
  <c r="X49" i="1"/>
  <c r="Y49" i="1"/>
  <c r="Z49" i="1"/>
  <c r="AA49" i="1"/>
  <c r="AB49" i="1"/>
  <c r="AC49" i="1"/>
  <c r="AD49" i="1"/>
  <c r="S50" i="1"/>
  <c r="T50" i="1"/>
  <c r="U50" i="1"/>
  <c r="V50" i="1"/>
  <c r="W50" i="1"/>
  <c r="X50" i="1"/>
  <c r="Y50" i="1"/>
  <c r="Z50" i="1"/>
  <c r="AA50" i="1"/>
  <c r="AB50" i="1"/>
  <c r="AC50" i="1"/>
  <c r="AD50" i="1"/>
  <c r="S51" i="1"/>
  <c r="T51" i="1"/>
  <c r="U51" i="1"/>
  <c r="V51" i="1"/>
  <c r="W51" i="1"/>
  <c r="X51" i="1"/>
  <c r="Y51" i="1"/>
  <c r="Z51" i="1"/>
  <c r="AA51" i="1"/>
  <c r="AB51" i="1"/>
  <c r="AC51" i="1"/>
  <c r="AD51" i="1"/>
  <c r="S6" i="1" l="1"/>
  <c r="T6" i="1" l="1"/>
  <c r="U6" i="1"/>
  <c r="V6" i="1"/>
  <c r="W6" i="1"/>
  <c r="X6" i="1"/>
  <c r="Y6" i="1"/>
  <c r="Z6" i="1"/>
  <c r="AA6" i="1"/>
  <c r="AB6" i="1"/>
  <c r="AC6" i="1"/>
  <c r="AD6" i="1"/>
  <c r="S6" i="2" l="1"/>
  <c r="T6" i="2"/>
  <c r="U6" i="2"/>
  <c r="V6" i="2"/>
  <c r="W6" i="2"/>
  <c r="X6" i="2"/>
  <c r="Y6" i="2"/>
  <c r="Z6" i="2"/>
  <c r="AA6" i="2"/>
  <c r="AB6" i="2"/>
  <c r="AC6" i="2"/>
  <c r="AD6" i="2"/>
</calcChain>
</file>

<file path=xl/sharedStrings.xml><?xml version="1.0" encoding="utf-8"?>
<sst xmlns="http://schemas.openxmlformats.org/spreadsheetml/2006/main" count="1109" uniqueCount="291">
  <si>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</si>
  <si>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</si>
  <si>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</si>
  <si>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</si>
  <si>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</si>
  <si>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</si>
  <si>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</si>
  <si>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</si>
  <si>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</si>
  <si>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</si>
  <si>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</si>
  <si>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</si>
  <si>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</si>
  <si>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</si>
  <si>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</si>
  <si>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</si>
  <si>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</si>
  <si>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</si>
  <si>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</si>
  <si>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</si>
  <si>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</si>
  <si>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</si>
  <si>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</si>
  <si>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</si>
  <si>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</si>
  <si>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</si>
  <si>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</si>
  <si>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</si>
  <si>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</si>
  <si>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</si>
  <si>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</si>
  <si>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</si>
  <si>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</si>
  <si>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</si>
  <si>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</si>
  <si>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</si>
  <si>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</si>
  <si>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</si>
  <si>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b/>
        <sz val="6"/>
        <rFont val="Arial"/>
        <family val="2"/>
      </rPr>
      <t>ALOKASI BELANJA DAN PENGELUARAN PEMBIAYAAN</t>
    </r>
  </si>
  <si>
    <r>
      <rPr>
        <b/>
        <sz val="6"/>
        <rFont val="Arial"/>
        <family val="2"/>
      </rPr>
      <t xml:space="preserve">PROGRAM PENUNJANG URUSAN
</t>
    </r>
    <r>
      <rPr>
        <b/>
        <sz val="6"/>
        <rFont val="Arial"/>
        <family val="2"/>
      </rPr>
      <t>PEMERINTAHAN DAERAH PROVINSI</t>
    </r>
  </si>
  <si>
    <r>
      <rPr>
        <sz val="6"/>
        <rFont val="Arial MT"/>
        <family val="2"/>
      </rPr>
      <t>Penyediaan Gaji dan Tunjangan ASN</t>
    </r>
  </si>
  <si>
    <r>
      <rPr>
        <sz val="6"/>
        <rFont val="Arial MT"/>
        <family val="2"/>
      </rPr>
      <t xml:space="preserve">Pelaksanaan Penatausahaan dan
</t>
    </r>
    <r>
      <rPr>
        <sz val="6"/>
        <rFont val="Arial MT"/>
        <family val="2"/>
      </rPr>
      <t>Pengujian/Verifikasi Keuangan SKPD</t>
    </r>
  </si>
  <si>
    <r>
      <rPr>
        <b/>
        <sz val="6"/>
        <rFont val="Arial"/>
        <family val="2"/>
      </rPr>
      <t>Administrasi Umum Perangkat Daerah</t>
    </r>
  </si>
  <si>
    <r>
      <rPr>
        <sz val="6"/>
        <rFont val="Arial MT"/>
        <family val="2"/>
      </rPr>
      <t xml:space="preserve">Penyediaan Komponen Instalasi
</t>
    </r>
    <r>
      <rPr>
        <sz val="6"/>
        <rFont val="Arial MT"/>
        <family val="2"/>
      </rPr>
      <t>Listrik/Penerangan Bangunan Kantor</t>
    </r>
  </si>
  <si>
    <r>
      <rPr>
        <sz val="6"/>
        <rFont val="Arial MT"/>
        <family val="2"/>
      </rPr>
      <t>Penyediaan Bahan Logistik Kantor</t>
    </r>
  </si>
  <si>
    <r>
      <rPr>
        <sz val="6"/>
        <rFont val="Arial MT"/>
        <family val="2"/>
      </rPr>
      <t xml:space="preserve">Penyediaan Barang Cetakan dan
</t>
    </r>
    <r>
      <rPr>
        <sz val="6"/>
        <rFont val="Arial MT"/>
        <family val="2"/>
      </rPr>
      <t>Penggandaan</t>
    </r>
  </si>
  <si>
    <r>
      <rPr>
        <b/>
        <sz val="6"/>
        <rFont val="Arial"/>
        <family val="2"/>
      </rPr>
      <t xml:space="preserve">Pengadaan Barang Milik Daerah
</t>
    </r>
    <r>
      <rPr>
        <b/>
        <sz val="6"/>
        <rFont val="Arial"/>
        <family val="2"/>
      </rPr>
      <t>Penunjang Urusan Pemerintah Daerah</t>
    </r>
  </si>
  <si>
    <r>
      <rPr>
        <sz val="6"/>
        <rFont val="Arial MT"/>
        <family val="2"/>
      </rPr>
      <t>Pengadaan Peralatan dan Mesin Lainnya</t>
    </r>
  </si>
  <si>
    <r>
      <rPr>
        <b/>
        <sz val="6"/>
        <rFont val="Arial"/>
        <family val="2"/>
      </rPr>
      <t xml:space="preserve">Penyediaan Jasa Penunjang Urusan
</t>
    </r>
    <r>
      <rPr>
        <b/>
        <sz val="6"/>
        <rFont val="Arial"/>
        <family val="2"/>
      </rPr>
      <t>Pemerintahan Daerah</t>
    </r>
  </si>
  <si>
    <r>
      <rPr>
        <sz val="6"/>
        <rFont val="Arial MT"/>
        <family val="2"/>
      </rPr>
      <t>Penyediaan Jasa Surat Menyurat</t>
    </r>
  </si>
  <si>
    <r>
      <rPr>
        <sz val="6"/>
        <rFont val="Arial MT"/>
        <family val="2"/>
      </rPr>
      <t xml:space="preserve">Penyediaan Jasa Komunikasi, Sumber
</t>
    </r>
    <r>
      <rPr>
        <sz val="6"/>
        <rFont val="Arial MT"/>
        <family val="2"/>
      </rPr>
      <t>Daya Air dan Listrik</t>
    </r>
  </si>
  <si>
    <r>
      <rPr>
        <sz val="6"/>
        <rFont val="Arial MT"/>
        <family val="2"/>
      </rPr>
      <t xml:space="preserve">Penyediaan Jasa Pelayanan Umum
</t>
    </r>
    <r>
      <rPr>
        <sz val="6"/>
        <rFont val="Arial MT"/>
        <family val="2"/>
      </rPr>
      <t>Kantor</t>
    </r>
  </si>
  <si>
    <r>
      <rPr>
        <sz val="6"/>
        <rFont val="Arial MT"/>
        <family val="2"/>
      </rPr>
      <t>Kode Rekening</t>
    </r>
  </si>
  <si>
    <r>
      <rPr>
        <sz val="6"/>
        <rFont val="Arial MT"/>
        <family val="2"/>
      </rPr>
      <t>Uraian</t>
    </r>
  </si>
  <si>
    <r>
      <rPr>
        <sz val="6"/>
        <rFont val="Arial MT"/>
        <family val="2"/>
      </rPr>
      <t>Jumlah Anggaran</t>
    </r>
  </si>
  <si>
    <r>
      <rPr>
        <sz val="6"/>
        <rFont val="Arial MT"/>
        <family val="2"/>
      </rPr>
      <t>Jumlah RAK</t>
    </r>
  </si>
  <si>
    <r>
      <rPr>
        <sz val="6"/>
        <rFont val="Arial MT"/>
        <family val="2"/>
      </rPr>
      <t>Semester I</t>
    </r>
  </si>
  <si>
    <r>
      <rPr>
        <sz val="6"/>
        <rFont val="Arial MT"/>
        <family val="2"/>
      </rPr>
      <t>Semester II</t>
    </r>
  </si>
  <si>
    <r>
      <rPr>
        <sz val="6"/>
        <rFont val="Arial MT"/>
        <family val="2"/>
      </rPr>
      <t>Triwulan I</t>
    </r>
  </si>
  <si>
    <r>
      <rPr>
        <sz val="6"/>
        <rFont val="Arial MT"/>
        <family val="2"/>
      </rPr>
      <t>Triwulan II</t>
    </r>
  </si>
  <si>
    <r>
      <rPr>
        <sz val="6"/>
        <rFont val="Arial MT"/>
        <family val="2"/>
      </rPr>
      <t>Triwulan III</t>
    </r>
  </si>
  <si>
    <r>
      <rPr>
        <sz val="6"/>
        <rFont val="Arial MT"/>
        <family val="2"/>
      </rPr>
      <t>Triwulan IV</t>
    </r>
  </si>
  <si>
    <r>
      <rPr>
        <sz val="6"/>
        <rFont val="Arial MT"/>
        <family val="2"/>
      </rPr>
      <t>Januari</t>
    </r>
  </si>
  <si>
    <r>
      <rPr>
        <sz val="6"/>
        <rFont val="Arial MT"/>
        <family val="2"/>
      </rPr>
      <t>Februari</t>
    </r>
  </si>
  <si>
    <r>
      <rPr>
        <sz val="6"/>
        <rFont val="Arial MT"/>
        <family val="2"/>
      </rPr>
      <t>Maret</t>
    </r>
  </si>
  <si>
    <r>
      <rPr>
        <sz val="6"/>
        <rFont val="Arial MT"/>
        <family val="2"/>
      </rPr>
      <t>April</t>
    </r>
  </si>
  <si>
    <r>
      <rPr>
        <sz val="6"/>
        <rFont val="Arial MT"/>
        <family val="2"/>
      </rPr>
      <t>Mei</t>
    </r>
  </si>
  <si>
    <r>
      <rPr>
        <sz val="6"/>
        <rFont val="Arial MT"/>
        <family val="2"/>
      </rPr>
      <t>Juni</t>
    </r>
  </si>
  <si>
    <r>
      <rPr>
        <sz val="6"/>
        <rFont val="Arial MT"/>
        <family val="2"/>
      </rPr>
      <t>Juli</t>
    </r>
  </si>
  <si>
    <r>
      <rPr>
        <sz val="6"/>
        <rFont val="Arial MT"/>
        <family val="2"/>
      </rPr>
      <t>Agustus</t>
    </r>
  </si>
  <si>
    <r>
      <rPr>
        <sz val="6"/>
        <rFont val="Arial MT"/>
        <family val="2"/>
      </rPr>
      <t>September</t>
    </r>
  </si>
  <si>
    <r>
      <rPr>
        <sz val="6"/>
        <rFont val="Arial MT"/>
        <family val="2"/>
      </rPr>
      <t>Oktober</t>
    </r>
  </si>
  <si>
    <r>
      <rPr>
        <sz val="6"/>
        <rFont val="Arial MT"/>
        <family val="2"/>
      </rPr>
      <t>November</t>
    </r>
  </si>
  <si>
    <r>
      <rPr>
        <sz val="6"/>
        <rFont val="Arial MT"/>
        <family val="2"/>
      </rPr>
      <t>Desember</t>
    </r>
  </si>
  <si>
    <r>
      <rPr>
        <b/>
        <sz val="6"/>
        <rFont val="Arial"/>
        <family val="2"/>
      </rPr>
      <t>Pemeliharaan Barang Milik Daerah Penunjang Urusan Pemerintahan Daerah</t>
    </r>
  </si>
  <si>
    <r>
      <rPr>
        <sz val="6"/>
        <rFont val="Arial MT"/>
        <family val="2"/>
      </rPr>
      <t xml:space="preserve">Penyediaan Jasa Pemeliharaan, Biaya Pemeliharaan, Pajak dan Perizinan Kendaraan Dinas Operasional atau
</t>
    </r>
    <r>
      <rPr>
        <sz val="6"/>
        <rFont val="Arial MT"/>
        <family val="2"/>
      </rPr>
      <t>Lapangan</t>
    </r>
  </si>
  <si>
    <r>
      <rPr>
        <sz val="6"/>
        <rFont val="Arial MT"/>
        <family val="2"/>
      </rPr>
      <t xml:space="preserve">Pemeliharaan Peralatan dan Mesin
</t>
    </r>
    <r>
      <rPr>
        <sz val="6"/>
        <rFont val="Arial MT"/>
        <family val="2"/>
      </rPr>
      <t>Lainnya</t>
    </r>
  </si>
  <si>
    <r>
      <rPr>
        <b/>
        <sz val="6"/>
        <rFont val="Arial"/>
        <family val="2"/>
      </rPr>
      <t xml:space="preserve">Perencanaan, Penganggaran, dan
</t>
    </r>
    <r>
      <rPr>
        <b/>
        <sz val="6"/>
        <rFont val="Arial"/>
        <family val="2"/>
      </rPr>
      <t>Evaluasi Kinerja Perangkat Daerah</t>
    </r>
  </si>
  <si>
    <r>
      <rPr>
        <sz val="6"/>
        <rFont val="Arial MT"/>
        <family val="2"/>
      </rPr>
      <t>Evaluasi Kinerja Perangkat Daerah</t>
    </r>
  </si>
  <si>
    <r>
      <rPr>
        <b/>
        <sz val="6"/>
        <rFont val="Arial"/>
        <family val="2"/>
      </rPr>
      <t xml:space="preserve">Administrasi Keuangan Perangkat
</t>
    </r>
    <r>
      <rPr>
        <b/>
        <sz val="6"/>
        <rFont val="Arial"/>
        <family val="2"/>
      </rPr>
      <t>Daerah</t>
    </r>
  </si>
  <si>
    <r>
      <rPr>
        <sz val="6"/>
        <rFont val="Arial MT"/>
        <family val="2"/>
      </rPr>
      <t>Penyelenggaraan Rapat Koordinasi dan Konsultasi SKPD</t>
    </r>
  </si>
  <si>
    <r>
      <rPr>
        <sz val="6"/>
        <rFont val="Arial MT"/>
        <family val="2"/>
      </rPr>
      <t>Pemeliharaan/Rehabilitasi Gedung Kantor dan Bangunan Lainnya</t>
    </r>
  </si>
  <si>
    <r>
      <rPr>
        <b/>
        <sz val="6"/>
        <rFont val="Arial"/>
        <family val="2"/>
      </rPr>
      <t>1.03.0.00.0.00.01.0000</t>
    </r>
  </si>
  <si>
    <r>
      <rPr>
        <b/>
        <sz val="6"/>
        <rFont val="Arial"/>
        <family val="2"/>
      </rPr>
      <t xml:space="preserve">DINAS BINA MARGA, CIPTA KARYA
</t>
    </r>
    <r>
      <rPr>
        <b/>
        <sz val="6"/>
        <rFont val="Arial"/>
        <family val="2"/>
      </rPr>
      <t>DAN TATA RUANG</t>
    </r>
  </si>
  <si>
    <r>
      <rPr>
        <b/>
        <sz val="6"/>
        <rFont val="Arial"/>
        <family val="2"/>
      </rPr>
      <t>1.03</t>
    </r>
  </si>
  <si>
    <r>
      <rPr>
        <b/>
        <sz val="6"/>
        <rFont val="Arial"/>
        <family val="2"/>
      </rPr>
      <t xml:space="preserve">URUSAN PEMERINTAHAN BIDANG PEKERJAAN UMUM DAN PENATAAN
</t>
    </r>
    <r>
      <rPr>
        <b/>
        <sz val="6"/>
        <rFont val="Arial"/>
        <family val="2"/>
      </rPr>
      <t>RUANG</t>
    </r>
  </si>
  <si>
    <r>
      <rPr>
        <b/>
        <sz val="6"/>
        <rFont val="Arial"/>
        <family val="2"/>
      </rPr>
      <t>1.03.01.1.01</t>
    </r>
  </si>
  <si>
    <r>
      <rPr>
        <sz val="6"/>
        <rFont val="Arial MT"/>
        <family val="2"/>
      </rPr>
      <t>1.03.01.1.01.0001</t>
    </r>
  </si>
  <si>
    <r>
      <rPr>
        <sz val="6"/>
        <rFont val="Arial MT"/>
        <family val="2"/>
      </rPr>
      <t>Penyusunan Dokumen Perencanaan Perangkat Daerah</t>
    </r>
  </si>
  <si>
    <r>
      <rPr>
        <sz val="6"/>
        <rFont val="Arial MT"/>
        <family val="2"/>
      </rPr>
      <t>1.03.01.1.01.0006</t>
    </r>
  </si>
  <si>
    <r>
      <rPr>
        <sz val="6"/>
        <rFont val="Arial MT"/>
        <family val="2"/>
      </rPr>
      <t xml:space="preserve">Koordinasi dan Penyusunan Laporan
</t>
    </r>
    <r>
      <rPr>
        <sz val="6"/>
        <rFont val="Arial MT"/>
        <family val="2"/>
      </rPr>
      <t>Capaian Kinerja dan Ikhtisar Realisasi Kinerja SKPD</t>
    </r>
  </si>
  <si>
    <r>
      <rPr>
        <sz val="6"/>
        <rFont val="Arial MT"/>
        <family val="2"/>
      </rPr>
      <t>1.03.01.1.01.0007</t>
    </r>
  </si>
  <si>
    <r>
      <rPr>
        <b/>
        <sz val="6"/>
        <rFont val="Arial"/>
        <family val="2"/>
      </rPr>
      <t>1.03.01.1.02</t>
    </r>
  </si>
  <si>
    <r>
      <rPr>
        <sz val="6"/>
        <rFont val="Arial MT"/>
        <family val="2"/>
      </rPr>
      <t>1.03.01.1.02.0001</t>
    </r>
  </si>
  <si>
    <r>
      <rPr>
        <sz val="6"/>
        <rFont val="Arial MT"/>
        <family val="2"/>
      </rPr>
      <t>1.03.01.1.02.0003</t>
    </r>
  </si>
  <si>
    <r>
      <rPr>
        <sz val="6"/>
        <rFont val="Arial MT"/>
        <family val="2"/>
      </rPr>
      <t>1.03.01.1.02.0007</t>
    </r>
  </si>
  <si>
    <r>
      <rPr>
        <sz val="6"/>
        <rFont val="Arial MT"/>
        <family val="2"/>
      </rPr>
      <t>Koordinasi dan Penyusunan Laporan Keuangan Bulanan/ Triwulanan/Semesteran SKPD</t>
    </r>
  </si>
  <si>
    <r>
      <rPr>
        <b/>
        <sz val="6"/>
        <rFont val="Arial"/>
        <family val="2"/>
      </rPr>
      <t>1.03.01.1.03</t>
    </r>
  </si>
  <si>
    <r>
      <rPr>
        <b/>
        <sz val="6"/>
        <rFont val="Arial"/>
        <family val="2"/>
      </rPr>
      <t xml:space="preserve">Administrasi Barang Milik Daerah pada
</t>
    </r>
    <r>
      <rPr>
        <b/>
        <sz val="6"/>
        <rFont val="Arial"/>
        <family val="2"/>
      </rPr>
      <t>Perangkat Daerah</t>
    </r>
  </si>
  <si>
    <r>
      <rPr>
        <sz val="6"/>
        <rFont val="Arial MT"/>
        <family val="2"/>
      </rPr>
      <t>1.03.01.1.03.0006</t>
    </r>
  </si>
  <si>
    <r>
      <rPr>
        <sz val="6"/>
        <rFont val="Arial MT"/>
        <family val="2"/>
      </rPr>
      <t>Penatausahaan Barang Milik Daerah pada SKPD</t>
    </r>
  </si>
  <si>
    <r>
      <rPr>
        <b/>
        <sz val="6"/>
        <rFont val="Arial"/>
        <family val="2"/>
      </rPr>
      <t>1.03.01.1.05</t>
    </r>
  </si>
  <si>
    <r>
      <rPr>
        <b/>
        <sz val="6"/>
        <rFont val="Arial"/>
        <family val="2"/>
      </rPr>
      <t xml:space="preserve">Administrasi Kepegawaian Perangkat
</t>
    </r>
    <r>
      <rPr>
        <b/>
        <sz val="6"/>
        <rFont val="Arial"/>
        <family val="2"/>
      </rPr>
      <t>Daerah</t>
    </r>
  </si>
  <si>
    <r>
      <rPr>
        <sz val="6"/>
        <rFont val="Arial MT"/>
        <family val="2"/>
      </rPr>
      <t>1.03.01.1.05.0009</t>
    </r>
  </si>
  <si>
    <r>
      <rPr>
        <sz val="6"/>
        <rFont val="Arial MT"/>
        <family val="2"/>
      </rPr>
      <t xml:space="preserve">Pendidikan dan Pelatihan Pegawai
</t>
    </r>
    <r>
      <rPr>
        <sz val="6"/>
        <rFont val="Arial MT"/>
        <family val="2"/>
      </rPr>
      <t>Berdasarkan Tugas dan Fungsi</t>
    </r>
  </si>
  <si>
    <r>
      <rPr>
        <b/>
        <sz val="6"/>
        <rFont val="Arial"/>
        <family val="2"/>
      </rPr>
      <t>1.03.01.1.06</t>
    </r>
  </si>
  <si>
    <r>
      <rPr>
        <sz val="6"/>
        <rFont val="Arial MT"/>
        <family val="2"/>
      </rPr>
      <t>1.03.01.1.06.0001</t>
    </r>
  </si>
  <si>
    <r>
      <rPr>
        <sz val="6"/>
        <rFont val="Arial MT"/>
        <family val="2"/>
      </rPr>
      <t>1.03.01.1.06.0004</t>
    </r>
  </si>
  <si>
    <r>
      <rPr>
        <sz val="6"/>
        <rFont val="Arial MT"/>
        <family val="2"/>
      </rPr>
      <t>1.03.01.1.06.0005</t>
    </r>
  </si>
  <si>
    <r>
      <rPr>
        <sz val="6"/>
        <rFont val="Arial MT"/>
        <family val="2"/>
      </rPr>
      <t>Penyediaan Barang Cetakan dan Penggandaan</t>
    </r>
  </si>
  <si>
    <r>
      <rPr>
        <sz val="6"/>
        <rFont val="Arial MT"/>
        <family val="2"/>
      </rPr>
      <t>1.03.01.1.06.0006</t>
    </r>
  </si>
  <si>
    <r>
      <rPr>
        <sz val="6"/>
        <rFont val="Arial MT"/>
        <family val="2"/>
      </rPr>
      <t xml:space="preserve">Penyediaan Bahan Bacaan dan Peraturan
</t>
    </r>
    <r>
      <rPr>
        <sz val="6"/>
        <rFont val="Arial MT"/>
        <family val="2"/>
      </rPr>
      <t>Perundang-Undangan</t>
    </r>
  </si>
  <si>
    <r>
      <rPr>
        <sz val="6"/>
        <rFont val="Arial MT"/>
        <family val="2"/>
      </rPr>
      <t>1.03.01.1.06.0009</t>
    </r>
  </si>
  <si>
    <r>
      <rPr>
        <sz val="6"/>
        <rFont val="Arial MT"/>
        <family val="2"/>
      </rPr>
      <t xml:space="preserve">Penyelenggaraan Rapat Koordinasi dan
</t>
    </r>
    <r>
      <rPr>
        <sz val="6"/>
        <rFont val="Arial MT"/>
        <family val="2"/>
      </rPr>
      <t>Konsultasi SKPD</t>
    </r>
  </si>
  <si>
    <r>
      <rPr>
        <sz val="6"/>
        <rFont val="Arial MT"/>
        <family val="2"/>
      </rPr>
      <t>1.03.01.1.06.0010</t>
    </r>
  </si>
  <si>
    <r>
      <rPr>
        <sz val="6"/>
        <rFont val="Arial MT"/>
        <family val="2"/>
      </rPr>
      <t xml:space="preserve">Penatausahaan Arsip Dinamis pada
</t>
    </r>
    <r>
      <rPr>
        <sz val="6"/>
        <rFont val="Arial MT"/>
        <family val="2"/>
      </rPr>
      <t>SKPD</t>
    </r>
  </si>
  <si>
    <r>
      <rPr>
        <sz val="6"/>
        <rFont val="Arial MT"/>
        <family val="2"/>
      </rPr>
      <t>1.03.01.1.06.0011</t>
    </r>
  </si>
  <si>
    <r>
      <rPr>
        <sz val="6"/>
        <rFont val="Arial MT"/>
        <family val="2"/>
      </rPr>
      <t xml:space="preserve">Dukungan Pelaksanaan Sistem Pemerintahan Berbasis Elektronik pada
</t>
    </r>
    <r>
      <rPr>
        <sz val="6"/>
        <rFont val="Arial MT"/>
        <family val="2"/>
      </rPr>
      <t>SKPD</t>
    </r>
  </si>
  <si>
    <r>
      <rPr>
        <b/>
        <sz val="6"/>
        <rFont val="Arial"/>
        <family val="2"/>
      </rPr>
      <t>1.03.01.1.07</t>
    </r>
  </si>
  <si>
    <r>
      <rPr>
        <sz val="6"/>
        <rFont val="Arial MT"/>
        <family val="2"/>
      </rPr>
      <t>1.03.01.1.07.0002</t>
    </r>
  </si>
  <si>
    <r>
      <rPr>
        <sz val="6"/>
        <rFont val="Arial MT"/>
        <family val="2"/>
      </rPr>
      <t xml:space="preserve">Pengadaan Kendaraan Dinas Operasional
</t>
    </r>
    <r>
      <rPr>
        <sz val="6"/>
        <rFont val="Arial MT"/>
        <family val="2"/>
      </rPr>
      <t>atau Lapangan</t>
    </r>
  </si>
  <si>
    <r>
      <rPr>
        <sz val="6"/>
        <rFont val="Arial MT"/>
        <family val="2"/>
      </rPr>
      <t>1.03.01.1.07.0005</t>
    </r>
  </si>
  <si>
    <r>
      <rPr>
        <sz val="6"/>
        <rFont val="Arial MT"/>
        <family val="2"/>
      </rPr>
      <t>Pengadaan Mebel</t>
    </r>
  </si>
  <si>
    <r>
      <rPr>
        <sz val="6"/>
        <rFont val="Arial MT"/>
        <family val="2"/>
      </rPr>
      <t>1.03.01.1.07.0006</t>
    </r>
  </si>
  <si>
    <r>
      <rPr>
        <b/>
        <sz val="6"/>
        <rFont val="Arial"/>
        <family val="2"/>
      </rPr>
      <t>1.03.01.1.08</t>
    </r>
  </si>
  <si>
    <r>
      <rPr>
        <sz val="6"/>
        <rFont val="Arial MT"/>
        <family val="2"/>
      </rPr>
      <t>1.03.01.1.08.0001</t>
    </r>
  </si>
  <si>
    <r>
      <rPr>
        <sz val="6"/>
        <rFont val="Arial MT"/>
        <family val="2"/>
      </rPr>
      <t>1.03.01.1.08.0002</t>
    </r>
  </si>
  <si>
    <r>
      <rPr>
        <sz val="6"/>
        <rFont val="Arial MT"/>
        <family val="2"/>
      </rPr>
      <t>Penyediaan Jasa Komunikasi, Sumber Daya Air dan Listrik</t>
    </r>
  </si>
  <si>
    <r>
      <rPr>
        <sz val="6"/>
        <rFont val="Arial MT"/>
        <family val="2"/>
      </rPr>
      <t>1.03.01.1.08.0004</t>
    </r>
  </si>
  <si>
    <r>
      <rPr>
        <b/>
        <sz val="6"/>
        <rFont val="Arial"/>
        <family val="2"/>
      </rPr>
      <t>1.03.01.1.09</t>
    </r>
  </si>
  <si>
    <r>
      <rPr>
        <sz val="6"/>
        <rFont val="Arial MT"/>
        <family val="2"/>
      </rPr>
      <t>1.03.01.1.09.0002</t>
    </r>
  </si>
  <si>
    <r>
      <rPr>
        <sz val="6"/>
        <rFont val="Arial MT"/>
        <family val="2"/>
      </rPr>
      <t>1.03.01.1.09.0006</t>
    </r>
  </si>
  <si>
    <r>
      <rPr>
        <sz val="6"/>
        <rFont val="Arial MT"/>
        <family val="2"/>
      </rPr>
      <t>1.03.01.1.09.0007</t>
    </r>
  </si>
  <si>
    <r>
      <rPr>
        <sz val="6"/>
        <rFont val="Arial MT"/>
        <family val="2"/>
      </rPr>
      <t>Pemeliharaan Aset Tetap Lainnya</t>
    </r>
  </si>
  <si>
    <r>
      <rPr>
        <sz val="6"/>
        <rFont val="Arial MT"/>
        <family val="2"/>
      </rPr>
      <t>1.03.01.1.09.0009</t>
    </r>
  </si>
  <si>
    <r>
      <rPr>
        <b/>
        <sz val="6"/>
        <rFont val="Arial"/>
        <family val="2"/>
      </rPr>
      <t xml:space="preserve">PROGRAM PENGELOLAAN DAN PENGEMBANGAN SISTEM
</t>
    </r>
    <r>
      <rPr>
        <b/>
        <sz val="6"/>
        <rFont val="Arial"/>
        <family val="2"/>
      </rPr>
      <t>PENYEDIAAN AIR MINUM</t>
    </r>
  </si>
  <si>
    <r>
      <rPr>
        <b/>
        <sz val="6"/>
        <rFont val="Arial"/>
        <family val="2"/>
      </rPr>
      <t>1.03.03.1.01</t>
    </r>
  </si>
  <si>
    <r>
      <rPr>
        <b/>
        <sz val="6"/>
        <rFont val="Arial"/>
        <family val="2"/>
      </rPr>
      <t xml:space="preserve">Pengelolaan dan Pengembangan
</t>
    </r>
    <r>
      <rPr>
        <b/>
        <sz val="6"/>
        <rFont val="Arial"/>
        <family val="2"/>
      </rPr>
      <t>Sistem Penyediaan Air Minum (SPAM) Lintas Kabupaten/Kota</t>
    </r>
  </si>
  <si>
    <r>
      <rPr>
        <sz val="6"/>
        <rFont val="Arial MT"/>
        <family val="2"/>
      </rPr>
      <t>1.03.03.1.01.0014</t>
    </r>
  </si>
  <si>
    <r>
      <rPr>
        <sz val="6"/>
        <rFont val="Arial MT"/>
        <family val="2"/>
      </rPr>
      <t xml:space="preserve">Pembinaan Pengelolaan dan Pengembangan Sistem Penyediaan Air
</t>
    </r>
    <r>
      <rPr>
        <sz val="6"/>
        <rFont val="Arial MT"/>
        <family val="2"/>
      </rPr>
      <t>Minum (SPAM) Kabupaten/Kota</t>
    </r>
  </si>
  <si>
    <r>
      <rPr>
        <sz val="6"/>
        <rFont val="Arial MT"/>
        <family val="2"/>
      </rPr>
      <t>1.03.03.1.01.0018</t>
    </r>
  </si>
  <si>
    <r>
      <rPr>
        <sz val="6"/>
        <rFont val="Arial MT"/>
        <family val="2"/>
      </rPr>
      <t xml:space="preserve">Peningkatan Sistem Penyediaan Air
</t>
    </r>
    <r>
      <rPr>
        <sz val="6"/>
        <rFont val="Arial MT"/>
        <family val="2"/>
      </rPr>
      <t>Minum (SPAM) Lintas Kabupaten/Kota</t>
    </r>
  </si>
  <si>
    <r>
      <rPr>
        <sz val="6"/>
        <rFont val="Arial MT"/>
        <family val="2"/>
      </rPr>
      <t>1.03.03.1.01.0021</t>
    </r>
  </si>
  <si>
    <r>
      <rPr>
        <sz val="6"/>
        <rFont val="Arial MT"/>
        <family val="2"/>
      </rPr>
      <t xml:space="preserve">Fasilitasi Kerja Sama Penyelenggaraan Sistem Penyediaan Air Minum (SPAM)
</t>
    </r>
    <r>
      <rPr>
        <sz val="6"/>
        <rFont val="Arial MT"/>
        <family val="2"/>
      </rPr>
      <t>Lintas Kabupaten/Kota</t>
    </r>
  </si>
  <si>
    <r>
      <rPr>
        <sz val="6"/>
        <rFont val="Arial MT"/>
        <family val="2"/>
      </rPr>
      <t>1.03.03.1.01.0025</t>
    </r>
  </si>
  <si>
    <r>
      <rPr>
        <sz val="6"/>
        <rFont val="Arial MT"/>
        <family val="2"/>
      </rPr>
      <t xml:space="preserve">Penyusunan Rencana, Kebijakan, Strategi dan Teknis Sistem Penyediaan Air Minum
</t>
    </r>
    <r>
      <rPr>
        <sz val="6"/>
        <rFont val="Arial MT"/>
        <family val="2"/>
      </rPr>
      <t>(SPAM) Lintas Kabupaten/Kota</t>
    </r>
  </si>
  <si>
    <r>
      <rPr>
        <sz val="6"/>
        <rFont val="Arial MT"/>
        <family val="2"/>
      </rPr>
      <t>1.03.03.1.01.0026</t>
    </r>
  </si>
  <si>
    <r>
      <rPr>
        <sz val="6"/>
        <rFont val="Arial MT"/>
        <family val="2"/>
      </rPr>
      <t xml:space="preserve">Peningkatan Kapasitas Kelembagaan Penyelenggara Sistem Penyediaan Air
</t>
    </r>
    <r>
      <rPr>
        <sz val="6"/>
        <rFont val="Arial MT"/>
        <family val="2"/>
      </rPr>
      <t>Minum (SPAM)</t>
    </r>
  </si>
  <si>
    <r>
      <rPr>
        <b/>
        <sz val="6"/>
        <rFont val="Arial"/>
        <family val="2"/>
      </rPr>
      <t xml:space="preserve">PROGRAM PENGEMBANGAN SISTEM DAN PENGELOLAAN PERSAMPAHAN
</t>
    </r>
    <r>
      <rPr>
        <b/>
        <sz val="6"/>
        <rFont val="Arial"/>
        <family val="2"/>
      </rPr>
      <t>REGIONAL</t>
    </r>
  </si>
  <si>
    <r>
      <rPr>
        <b/>
        <sz val="6"/>
        <rFont val="Arial"/>
        <family val="2"/>
      </rPr>
      <t>1.03.04.1.01</t>
    </r>
  </si>
  <si>
    <r>
      <rPr>
        <b/>
        <sz val="6"/>
        <rFont val="Arial"/>
        <family val="2"/>
      </rPr>
      <t>Pengembangan Sistem dan Pengelolaan Persampahan Regional</t>
    </r>
  </si>
  <si>
    <r>
      <rPr>
        <sz val="6"/>
        <rFont val="Arial MT"/>
        <family val="2"/>
      </rPr>
      <t>1.03.04.1.01.0012</t>
    </r>
  </si>
  <si>
    <r>
      <rPr>
        <sz val="6"/>
        <rFont val="Arial MT"/>
        <family val="2"/>
      </rPr>
      <t xml:space="preserve">Fasilitasi Kerja Sama Penyelenggaraan Sistem Pengelolaan Persampahan Lintas
</t>
    </r>
    <r>
      <rPr>
        <sz val="6"/>
        <rFont val="Arial MT"/>
        <family val="2"/>
      </rPr>
      <t>Kabupaten/Kota</t>
    </r>
  </si>
  <si>
    <r>
      <rPr>
        <sz val="6"/>
        <rFont val="Arial MT"/>
        <family val="2"/>
      </rPr>
      <t>1.03.04.1.01.0013</t>
    </r>
  </si>
  <si>
    <r>
      <rPr>
        <sz val="6"/>
        <rFont val="Arial MT"/>
        <family val="2"/>
      </rPr>
      <t>Pembangunan TPA/TPST/SPA</t>
    </r>
  </si>
  <si>
    <r>
      <rPr>
        <sz val="6"/>
        <rFont val="Arial MT"/>
        <family val="2"/>
      </rPr>
      <t>1.03.04.1.01.0016</t>
    </r>
  </si>
  <si>
    <r>
      <rPr>
        <sz val="6"/>
        <rFont val="Arial MT"/>
        <family val="2"/>
      </rPr>
      <t xml:space="preserve">Penyusunan Rencana, Kebijakan, Strategi dan Teknis Sistem Pengelolaan
</t>
    </r>
    <r>
      <rPr>
        <sz val="6"/>
        <rFont val="Arial MT"/>
        <family val="2"/>
      </rPr>
      <t>Persampahan</t>
    </r>
  </si>
  <si>
    <r>
      <rPr>
        <sz val="6"/>
        <rFont val="Arial MT"/>
        <family val="2"/>
      </rPr>
      <t>1.03.04.1.01.0018</t>
    </r>
  </si>
  <si>
    <r>
      <rPr>
        <sz val="6"/>
        <rFont val="Arial MT"/>
        <family val="2"/>
      </rPr>
      <t xml:space="preserve">Pembinaan dan Pengawasan Pengembangan dan Pengelolaan TPA/TPST/SPA/TPS-3R/TPS
</t>
    </r>
    <r>
      <rPr>
        <sz val="6"/>
        <rFont val="Arial MT"/>
        <family val="2"/>
      </rPr>
      <t>Kabupaten/Kota</t>
    </r>
  </si>
  <si>
    <r>
      <rPr>
        <b/>
        <sz val="6"/>
        <rFont val="Arial"/>
        <family val="2"/>
      </rPr>
      <t xml:space="preserve">PROGRAM PENGELOLAAN DAN
</t>
    </r>
    <r>
      <rPr>
        <b/>
        <sz val="6"/>
        <rFont val="Arial"/>
        <family val="2"/>
      </rPr>
      <t>PENGEMBANGAN SISTEM AIR LIMBAH</t>
    </r>
  </si>
  <si>
    <r>
      <rPr>
        <b/>
        <sz val="6"/>
        <rFont val="Arial"/>
        <family val="2"/>
      </rPr>
      <t>1.03.05.1.01</t>
    </r>
  </si>
  <si>
    <r>
      <rPr>
        <b/>
        <sz val="6"/>
        <rFont val="Arial"/>
        <family val="2"/>
      </rPr>
      <t xml:space="preserve">Pengelolaan dan Pengembangan
</t>
    </r>
    <r>
      <rPr>
        <b/>
        <sz val="6"/>
        <rFont val="Arial"/>
        <family val="2"/>
      </rPr>
      <t>Sistem Air Limbah Domestik Regional</t>
    </r>
  </si>
  <si>
    <r>
      <rPr>
        <sz val="6"/>
        <rFont val="Arial MT"/>
        <family val="2"/>
      </rPr>
      <t>1.03.05.1.01.0015</t>
    </r>
  </si>
  <si>
    <r>
      <rPr>
        <sz val="6"/>
        <rFont val="Arial MT"/>
        <family val="2"/>
      </rPr>
      <t xml:space="preserve">Penyusunan Rencana, Kebijakan, Strategi dan Teknis Sistem Pengelolaan Air
</t>
    </r>
    <r>
      <rPr>
        <sz val="6"/>
        <rFont val="Arial MT"/>
        <family val="2"/>
      </rPr>
      <t>Limbah Domestik (SPALD)</t>
    </r>
  </si>
  <si>
    <r>
      <rPr>
        <sz val="6"/>
        <rFont val="Arial MT"/>
        <family val="2"/>
      </rPr>
      <t>1.03.05.1.01.0016</t>
    </r>
  </si>
  <si>
    <r>
      <rPr>
        <sz val="6"/>
        <rFont val="Arial MT"/>
        <family val="2"/>
      </rPr>
      <t>Fasilitasi Kerja Sama Penyelenggaraan Sistem Pengelolaan Air Limbah Domestik (SPALD) Lintas Kabupaten/Kota</t>
    </r>
  </si>
  <si>
    <r>
      <rPr>
        <sz val="6"/>
        <rFont val="Arial MT"/>
        <family val="2"/>
      </rPr>
      <t>1.03.05.1.01.0022</t>
    </r>
  </si>
  <si>
    <r>
      <rPr>
        <sz val="6"/>
        <rFont val="Arial MT"/>
        <family val="2"/>
      </rPr>
      <t xml:space="preserve">Pembinaan Pengelolaan dan Pengembangan Sistem Pengelolaan Air Limbah Domestik (SPALD)
</t>
    </r>
    <r>
      <rPr>
        <sz val="6"/>
        <rFont val="Arial MT"/>
        <family val="2"/>
      </rPr>
      <t>Kabupaten/Kota</t>
    </r>
  </si>
  <si>
    <r>
      <rPr>
        <b/>
        <sz val="6"/>
        <rFont val="Arial"/>
        <family val="2"/>
      </rPr>
      <t xml:space="preserve">PROGRAM PENGELOLAAN DAN
</t>
    </r>
    <r>
      <rPr>
        <b/>
        <sz val="6"/>
        <rFont val="Arial"/>
        <family val="2"/>
      </rPr>
      <t>PENGEMBANGAN SISTEM DRAINASE</t>
    </r>
  </si>
  <si>
    <r>
      <rPr>
        <b/>
        <sz val="6"/>
        <rFont val="Arial"/>
        <family val="2"/>
      </rPr>
      <t>1.03.06.1.01</t>
    </r>
  </si>
  <si>
    <r>
      <rPr>
        <b/>
        <sz val="6"/>
        <rFont val="Arial"/>
        <family val="2"/>
      </rPr>
      <t xml:space="preserve">Pengelolaan dan Pengembangan Sistem Drainase yang Terhubung Langsung dengan Sungai Lintas
</t>
    </r>
    <r>
      <rPr>
        <b/>
        <sz val="6"/>
        <rFont val="Arial"/>
        <family val="2"/>
      </rPr>
      <t xml:space="preserve">Daerah Kabupaten/Kota dan Kawasan
</t>
    </r>
    <r>
      <rPr>
        <b/>
        <sz val="6"/>
        <rFont val="Arial"/>
        <family val="2"/>
      </rPr>
      <t>Strategis Provinsi</t>
    </r>
  </si>
  <si>
    <r>
      <rPr>
        <sz val="6"/>
        <rFont val="Arial MT"/>
        <family val="2"/>
      </rPr>
      <t>1.03.06.1.01.0008</t>
    </r>
  </si>
  <si>
    <r>
      <rPr>
        <sz val="6"/>
        <rFont val="Arial MT"/>
        <family val="2"/>
      </rPr>
      <t xml:space="preserve">Pembangunan Sistem Drainase
</t>
    </r>
    <r>
      <rPr>
        <sz val="6"/>
        <rFont val="Arial MT"/>
        <family val="2"/>
      </rPr>
      <t>Perkotaan</t>
    </r>
  </si>
  <si>
    <r>
      <rPr>
        <b/>
        <sz val="6"/>
        <rFont val="Arial"/>
        <family val="2"/>
      </rPr>
      <t xml:space="preserve">PROGRAM PENATAAN BANGUNAN
</t>
    </r>
    <r>
      <rPr>
        <b/>
        <sz val="6"/>
        <rFont val="Arial"/>
        <family val="2"/>
      </rPr>
      <t>GEDUNG</t>
    </r>
  </si>
  <si>
    <r>
      <rPr>
        <b/>
        <sz val="6"/>
        <rFont val="Arial"/>
        <family val="2"/>
      </rPr>
      <t>1.03.08.1.01</t>
    </r>
  </si>
  <si>
    <r>
      <rPr>
        <b/>
        <sz val="6"/>
        <rFont val="Arial"/>
        <family val="2"/>
      </rPr>
      <t xml:space="preserve">Penetapan dan Penyelenggaraan
</t>
    </r>
    <r>
      <rPr>
        <b/>
        <sz val="6"/>
        <rFont val="Arial"/>
        <family val="2"/>
      </rPr>
      <t>Bangunan Gedung untuk Kepentingan Strategis Daerah Provinsi</t>
    </r>
  </si>
  <si>
    <r>
      <rPr>
        <sz val="6"/>
        <rFont val="Arial MT"/>
        <family val="2"/>
      </rPr>
      <t>1.03.08.1.01.0012</t>
    </r>
  </si>
  <si>
    <r>
      <rPr>
        <sz val="6"/>
        <rFont val="Arial MT"/>
        <family val="2"/>
      </rPr>
      <t xml:space="preserve">Pembinaan Penyelenggaraan Bangunan Gedung kepada Penyelenggara
</t>
    </r>
    <r>
      <rPr>
        <sz val="6"/>
        <rFont val="Arial MT"/>
        <family val="2"/>
      </rPr>
      <t>Bangunan Gedung, dan Masyarakat</t>
    </r>
  </si>
  <si>
    <r>
      <rPr>
        <sz val="6"/>
        <rFont val="Arial MT"/>
        <family val="2"/>
      </rPr>
      <t>1.03.08.1.01.0013</t>
    </r>
  </si>
  <si>
    <r>
      <rPr>
        <sz val="6"/>
        <rFont val="Arial MT"/>
        <family val="2"/>
      </rPr>
      <t>Pelaksanaan Pengelolaan Rumah Negara</t>
    </r>
  </si>
  <si>
    <r>
      <rPr>
        <sz val="6"/>
        <rFont val="Arial MT"/>
        <family val="2"/>
      </rPr>
      <t>1.03.08.1.01.0016</t>
    </r>
  </si>
  <si>
    <r>
      <rPr>
        <sz val="6"/>
        <rFont val="Arial MT"/>
        <family val="2"/>
      </rPr>
      <t>Pengubahsuaian Bangunan Gedung untuk Kepentingan Strategis Daerah Provinsi</t>
    </r>
  </si>
  <si>
    <r>
      <rPr>
        <sz val="6"/>
        <rFont val="Arial MT"/>
        <family val="2"/>
      </rPr>
      <t>1.03.08.1.01.0019</t>
    </r>
  </si>
  <si>
    <r>
      <rPr>
        <sz val="6"/>
        <rFont val="Arial MT"/>
        <family val="2"/>
      </rPr>
      <t xml:space="preserve">Pembangunan, Pemanfaatan, Pelestariaan dan Pembongkaran Bangunan Gedung untuk Kepentingan
</t>
    </r>
    <r>
      <rPr>
        <sz val="6"/>
        <rFont val="Arial MT"/>
        <family val="2"/>
      </rPr>
      <t>Strategis Daerah Provinsi</t>
    </r>
  </si>
  <si>
    <r>
      <rPr>
        <b/>
        <sz val="6"/>
        <rFont val="Arial"/>
        <family val="2"/>
      </rPr>
      <t xml:space="preserve">PROGRAM PENATAAN BANGUNAN
</t>
    </r>
    <r>
      <rPr>
        <b/>
        <sz val="6"/>
        <rFont val="Arial"/>
        <family val="2"/>
      </rPr>
      <t>DAN LINGKUNGANNYA</t>
    </r>
  </si>
  <si>
    <r>
      <rPr>
        <b/>
        <sz val="6"/>
        <rFont val="Arial"/>
        <family val="2"/>
      </rPr>
      <t>1.03.09.1.01</t>
    </r>
  </si>
  <si>
    <r>
      <rPr>
        <b/>
        <sz val="6"/>
        <rFont val="Arial"/>
        <family val="2"/>
      </rPr>
      <t xml:space="preserve">Penyelenggaraan Penataan Bangunan dan Lingkungan di Kawasan Strategis Daerah Provinsi dan Lintas Daerah
</t>
    </r>
    <r>
      <rPr>
        <b/>
        <sz val="6"/>
        <rFont val="Arial"/>
        <family val="2"/>
      </rPr>
      <t>Kabupaten/Kota</t>
    </r>
  </si>
  <si>
    <r>
      <rPr>
        <sz val="6"/>
        <rFont val="Arial MT"/>
        <family val="2"/>
      </rPr>
      <t>1.03.09.1.01.0019</t>
    </r>
  </si>
  <si>
    <r>
      <rPr>
        <sz val="6"/>
        <rFont val="Arial MT"/>
        <family val="2"/>
      </rPr>
      <t xml:space="preserve">Penataan Bangunan dan Lingkungan di Kawasan Strategis Daerah Provinsi dan
</t>
    </r>
    <r>
      <rPr>
        <sz val="6"/>
        <rFont val="Arial MT"/>
        <family val="2"/>
      </rPr>
      <t>Lintas Daerah Kabupaten/Kota</t>
    </r>
  </si>
  <si>
    <r>
      <rPr>
        <b/>
        <sz val="6"/>
        <rFont val="Arial"/>
        <family val="2"/>
      </rPr>
      <t xml:space="preserve">PROGRAM PENYELENGGARAAN
</t>
    </r>
    <r>
      <rPr>
        <b/>
        <sz val="6"/>
        <rFont val="Arial"/>
        <family val="2"/>
      </rPr>
      <t>JALAN</t>
    </r>
  </si>
  <si>
    <r>
      <rPr>
        <b/>
        <sz val="6"/>
        <rFont val="Arial"/>
        <family val="2"/>
      </rPr>
      <t>1.03.10.1.01</t>
    </r>
  </si>
  <si>
    <r>
      <rPr>
        <b/>
        <sz val="6"/>
        <rFont val="Arial"/>
        <family val="2"/>
      </rPr>
      <t>Penyelenggaraan Jalan Provinsi</t>
    </r>
  </si>
  <si>
    <r>
      <rPr>
        <sz val="6"/>
        <rFont val="Arial MT"/>
        <family val="2"/>
      </rPr>
      <t>1.03.10.1.01.0030</t>
    </r>
  </si>
  <si>
    <r>
      <rPr>
        <sz val="6"/>
        <rFont val="Arial MT"/>
        <family val="2"/>
      </rPr>
      <t>Rehabilitasi Jalan</t>
    </r>
  </si>
  <si>
    <r>
      <rPr>
        <sz val="6"/>
        <rFont val="Arial MT"/>
        <family val="2"/>
      </rPr>
      <t>1.03.10.1.01.0031</t>
    </r>
  </si>
  <si>
    <r>
      <rPr>
        <sz val="6"/>
        <rFont val="Arial MT"/>
        <family val="2"/>
      </rPr>
      <t>Rekonstruksi Jalan</t>
    </r>
  </si>
  <si>
    <r>
      <rPr>
        <sz val="6"/>
        <rFont val="Arial MT"/>
        <family val="2"/>
      </rPr>
      <t>1.03.10.1.01.0035</t>
    </r>
  </si>
  <si>
    <r>
      <rPr>
        <sz val="6"/>
        <rFont val="Arial MT"/>
        <family val="2"/>
      </rPr>
      <t>Pelebaran Jalan Menambah Lajur</t>
    </r>
  </si>
  <si>
    <r>
      <rPr>
        <sz val="6"/>
        <rFont val="Arial MT"/>
        <family val="2"/>
      </rPr>
      <t>1.03.10.1.01.0041</t>
    </r>
  </si>
  <si>
    <r>
      <rPr>
        <sz val="6"/>
        <rFont val="Arial MT"/>
        <family val="2"/>
      </rPr>
      <t xml:space="preserve">Penyusunan Rencana, Kebijakan, Strategi dan Teknis Pengembangan Jaringan Jalan serta Perencanaan Teknis
</t>
    </r>
    <r>
      <rPr>
        <sz val="6"/>
        <rFont val="Arial MT"/>
        <family val="2"/>
      </rPr>
      <t>Penyelenggaraan Jalan dan Jembatan</t>
    </r>
  </si>
  <si>
    <r>
      <rPr>
        <sz val="6"/>
        <rFont val="Arial MT"/>
        <family val="2"/>
      </rPr>
      <t>1.03.10.1.01.0043</t>
    </r>
  </si>
  <si>
    <r>
      <rPr>
        <sz val="6"/>
        <rFont val="Arial MT"/>
        <family val="2"/>
      </rPr>
      <t>Survey Kondisi Jalan/Jembatan</t>
    </r>
  </si>
  <si>
    <r>
      <rPr>
        <sz val="6"/>
        <rFont val="Arial MT"/>
        <family val="2"/>
      </rPr>
      <t>1.03.10.1.01.0044</t>
    </r>
  </si>
  <si>
    <r>
      <rPr>
        <sz val="6"/>
        <rFont val="Arial MT"/>
        <family val="2"/>
      </rPr>
      <t>Pengelolaan Leger Jalan</t>
    </r>
  </si>
  <si>
    <r>
      <rPr>
        <sz val="6"/>
        <rFont val="Arial MT"/>
        <family val="2"/>
      </rPr>
      <t>1.03.10.1.01.0046</t>
    </r>
  </si>
  <si>
    <r>
      <rPr>
        <sz val="6"/>
        <rFont val="Arial MT"/>
        <family val="2"/>
      </rPr>
      <t>Penggantian Jembatan</t>
    </r>
  </si>
  <si>
    <r>
      <rPr>
        <sz val="6"/>
        <rFont val="Arial MT"/>
        <family val="2"/>
      </rPr>
      <t>1.03.10.1.01.0051</t>
    </r>
  </si>
  <si>
    <r>
      <rPr>
        <sz val="6"/>
        <rFont val="Arial MT"/>
        <family val="2"/>
      </rPr>
      <t>Pelebaran Jalan Menuju Standar</t>
    </r>
  </si>
  <si>
    <r>
      <rPr>
        <sz val="6"/>
        <rFont val="Arial MT"/>
        <family val="2"/>
      </rPr>
      <t>1.03.10.1.01.0053</t>
    </r>
  </si>
  <si>
    <r>
      <rPr>
        <sz val="6"/>
        <rFont val="Arial MT"/>
        <family val="2"/>
      </rPr>
      <t>Pengawasan Penyelenggaraan Jalan Kewenangan Provinsi</t>
    </r>
  </si>
  <si>
    <r>
      <rPr>
        <sz val="6"/>
        <rFont val="Arial MT"/>
        <family val="2"/>
      </rPr>
      <t>1.03.10.1.01.0054</t>
    </r>
  </si>
  <si>
    <r>
      <rPr>
        <sz val="6"/>
        <rFont val="Arial MT"/>
        <family val="2"/>
      </rPr>
      <t>Pembangunan Jembatan</t>
    </r>
  </si>
  <si>
    <r>
      <rPr>
        <sz val="6"/>
        <rFont val="Arial MT"/>
        <family val="2"/>
      </rPr>
      <t>1.03.10.1.01.0058</t>
    </r>
  </si>
  <si>
    <r>
      <rPr>
        <sz val="6"/>
        <rFont val="Arial MT"/>
        <family val="2"/>
      </rPr>
      <t>Pembangunan Jalan</t>
    </r>
  </si>
  <si>
    <r>
      <rPr>
        <sz val="6"/>
        <rFont val="Arial MT"/>
        <family val="2"/>
      </rPr>
      <t>1.03.10.1.01.0059</t>
    </r>
  </si>
  <si>
    <r>
      <rPr>
        <sz val="6"/>
        <rFont val="Arial MT"/>
        <family val="2"/>
      </rPr>
      <t xml:space="preserve">Pemantauan dan Evaluasi Penyelenggaraan Jalan/Jembatan
</t>
    </r>
    <r>
      <rPr>
        <sz val="6"/>
        <rFont val="Arial MT"/>
        <family val="2"/>
      </rPr>
      <t>Kewenangan Provinsi</t>
    </r>
  </si>
  <si>
    <r>
      <rPr>
        <b/>
        <sz val="6"/>
        <rFont val="Arial"/>
        <family val="2"/>
      </rPr>
      <t xml:space="preserve">PROGRAM PENYELENGGARAAN
</t>
    </r>
    <r>
      <rPr>
        <b/>
        <sz val="6"/>
        <rFont val="Arial"/>
        <family val="2"/>
      </rPr>
      <t>PENATAAN RUANG</t>
    </r>
  </si>
  <si>
    <r>
      <rPr>
        <b/>
        <sz val="6"/>
        <rFont val="Arial"/>
        <family val="2"/>
      </rPr>
      <t>1.03.12.1.01</t>
    </r>
  </si>
  <si>
    <r>
      <rPr>
        <b/>
        <sz val="6"/>
        <rFont val="Arial"/>
        <family val="2"/>
      </rPr>
      <t>Penetapan Rencana Tata Ruang Wilayah dan Rencana Rinci Tata Ruang Provinsi</t>
    </r>
  </si>
  <si>
    <r>
      <rPr>
        <sz val="6"/>
        <rFont val="Arial MT"/>
        <family val="2"/>
      </rPr>
      <t>1.03.12.1.01.0005</t>
    </r>
  </si>
  <si>
    <r>
      <rPr>
        <sz val="6"/>
        <rFont val="Arial MT"/>
        <family val="2"/>
      </rPr>
      <t xml:space="preserve">Penyebarluasan Informasi Penataan
</t>
    </r>
    <r>
      <rPr>
        <sz val="6"/>
        <rFont val="Arial MT"/>
        <family val="2"/>
      </rPr>
      <t>Ruang</t>
    </r>
  </si>
  <si>
    <r>
      <rPr>
        <b/>
        <sz val="6"/>
        <rFont val="Arial"/>
        <family val="2"/>
      </rPr>
      <t>1.03.12.1.02</t>
    </r>
  </si>
  <si>
    <r>
      <rPr>
        <b/>
        <sz val="6"/>
        <rFont val="Arial"/>
        <family val="2"/>
      </rPr>
      <t>Koordinasi dan Sinkronisasi Perencanaan Tata Ruang</t>
    </r>
  </si>
  <si>
    <r>
      <rPr>
        <sz val="6"/>
        <rFont val="Arial MT"/>
        <family val="2"/>
      </rPr>
      <t>1.03.12.1.02.0008</t>
    </r>
  </si>
  <si>
    <r>
      <rPr>
        <sz val="6"/>
        <rFont val="Arial MT"/>
        <family val="2"/>
      </rPr>
      <t xml:space="preserve">Pemberian Bimbingan, Supervisi dan Konsultasi Penyusunan Rencana Tata
</t>
    </r>
    <r>
      <rPr>
        <sz val="6"/>
        <rFont val="Arial MT"/>
        <family val="2"/>
      </rPr>
      <t>Ruang kepada Kabupaten/Kota</t>
    </r>
  </si>
  <si>
    <r>
      <rPr>
        <b/>
        <sz val="6"/>
        <rFont val="Arial"/>
        <family val="2"/>
      </rPr>
      <t>1.03.12.1.03</t>
    </r>
  </si>
  <si>
    <r>
      <rPr>
        <b/>
        <sz val="6"/>
        <rFont val="Arial"/>
        <family val="2"/>
      </rPr>
      <t>Koordinasi dan Sinkronisasi Pemanfataan Ruang Daerah Provinsi</t>
    </r>
  </si>
  <si>
    <r>
      <rPr>
        <sz val="6"/>
        <rFont val="Arial MT"/>
        <family val="2"/>
      </rPr>
      <t>1.03.12.1.03.0006</t>
    </r>
  </si>
  <si>
    <r>
      <rPr>
        <sz val="6"/>
        <rFont val="Arial MT"/>
        <family val="2"/>
      </rPr>
      <t xml:space="preserve">Sistem informasi dan komunikasi
</t>
    </r>
    <r>
      <rPr>
        <sz val="6"/>
        <rFont val="Arial MT"/>
        <family val="2"/>
      </rPr>
      <t>penataan ruang</t>
    </r>
  </si>
  <si>
    <r>
      <rPr>
        <b/>
        <sz val="6"/>
        <rFont val="Arial"/>
        <family val="2"/>
      </rPr>
      <t>1.03.12.1.04</t>
    </r>
  </si>
  <si>
    <r>
      <rPr>
        <b/>
        <sz val="6"/>
        <rFont val="Arial"/>
        <family val="2"/>
      </rPr>
      <t xml:space="preserve">Koordinasi dan Sinkronisasi
</t>
    </r>
    <r>
      <rPr>
        <b/>
        <sz val="6"/>
        <rFont val="Arial"/>
        <family val="2"/>
      </rPr>
      <t>Pengendalian Pemanfataan Ruang Daerah Provinsi</t>
    </r>
  </si>
  <si>
    <r>
      <rPr>
        <sz val="6"/>
        <rFont val="Arial MT"/>
        <family val="2"/>
      </rPr>
      <t>1.03.12.1.04.0006</t>
    </r>
  </si>
  <si>
    <r>
      <rPr>
        <sz val="6"/>
        <rFont val="Arial MT"/>
        <family val="2"/>
      </rPr>
      <t xml:space="preserve">Pengawasan TURBINLAK dan
</t>
    </r>
    <r>
      <rPr>
        <sz val="6"/>
        <rFont val="Arial MT"/>
        <family val="2"/>
      </rPr>
      <t>Pengawasan Fungsi dan Manfaat</t>
    </r>
  </si>
  <si>
    <r>
      <rPr>
        <sz val="6"/>
        <rFont val="Arial MT"/>
        <family val="2"/>
      </rPr>
      <t>1.03.12.1.04.0007</t>
    </r>
  </si>
  <si>
    <r>
      <rPr>
        <sz val="6"/>
        <rFont val="Arial MT"/>
        <family val="2"/>
      </rPr>
      <t xml:space="preserve">Pengawasan kinerja pemenuhan standar
</t>
    </r>
    <r>
      <rPr>
        <sz val="6"/>
        <rFont val="Arial MT"/>
        <family val="2"/>
      </rPr>
      <t>teknis kawasan</t>
    </r>
  </si>
  <si>
    <r>
      <rPr>
        <sz val="6"/>
        <rFont val="Arial MT"/>
        <family val="2"/>
      </rPr>
      <t>1.03.12.1.04.0009</t>
    </r>
  </si>
  <si>
    <r>
      <rPr>
        <sz val="6"/>
        <rFont val="Arial MT"/>
        <family val="2"/>
      </rPr>
      <t xml:space="preserve">Operasionalisasi Tugas dan Fungsi Forum
</t>
    </r>
    <r>
      <rPr>
        <sz val="6"/>
        <rFont val="Arial MT"/>
        <family val="2"/>
      </rPr>
      <t>Penataan Ruang</t>
    </r>
  </si>
  <si>
    <r>
      <rPr>
        <b/>
        <sz val="6"/>
        <rFont val="Arial"/>
        <family val="2"/>
      </rPr>
      <t xml:space="preserve">UPTD Pengawasan dan Pengendalian
</t>
    </r>
    <r>
      <rPr>
        <b/>
        <sz val="6"/>
        <rFont val="Arial"/>
        <family val="2"/>
      </rPr>
      <t>Bangunan dan Gedung</t>
    </r>
  </si>
  <si>
    <r>
      <rPr>
        <b/>
        <sz val="6"/>
        <rFont val="Arial"/>
        <family val="2"/>
      </rPr>
      <t>URUSAN PEMERINTAHAN BIDANG PEKERJAAN UMUM DAN PENATAAN RUANG</t>
    </r>
  </si>
  <si>
    <r>
      <rPr>
        <b/>
        <sz val="6"/>
        <rFont val="Arial"/>
        <family val="2"/>
      </rPr>
      <t>Penetapan dan Penyelenggaraan Bangunan Gedung untuk Kepentingan Strategis Daerah Provinsi</t>
    </r>
  </si>
  <si>
    <r>
      <rPr>
        <sz val="6"/>
        <rFont val="Arial MT"/>
        <family val="2"/>
      </rPr>
      <t xml:space="preserve">Pembinaan Penyelenggaraan Bangunan
</t>
    </r>
    <r>
      <rPr>
        <sz val="6"/>
        <rFont val="Arial MT"/>
        <family val="2"/>
      </rPr>
      <t>Gedung kepada Penyelenggara Bangunan Gedung, dan Masyarakat</t>
    </r>
  </si>
  <si>
    <r>
      <rPr>
        <sz val="6"/>
        <rFont val="Arial MT"/>
        <family val="2"/>
      </rPr>
      <t>1.03.08.1.01.0014</t>
    </r>
  </si>
  <si>
    <r>
      <rPr>
        <sz val="6"/>
        <rFont val="Arial MT"/>
        <family val="2"/>
      </rPr>
      <t xml:space="preserve">Identifikasi, Penetapan, Penyelenggaraan Bangunan Gedung Cagar Budaya yang Dilestarikan untuk Kepentingan Strategis
</t>
    </r>
    <r>
      <rPr>
        <sz val="6"/>
        <rFont val="Arial MT"/>
        <family val="2"/>
      </rPr>
      <t>Daerah Provinsi</t>
    </r>
  </si>
  <si>
    <r>
      <rPr>
        <sz val="6"/>
        <rFont val="Arial MT"/>
        <family val="2"/>
      </rPr>
      <t>1.03.08.1.01.0020</t>
    </r>
  </si>
  <si>
    <r>
      <rPr>
        <sz val="6"/>
        <rFont val="Arial MT"/>
        <family val="2"/>
      </rPr>
      <t xml:space="preserve">Pemeliharaan, Perawatan, dan Pemeriksaan Berkala Bangunan Gedung untuk Kepentingan Strategis Daerah
</t>
    </r>
    <r>
      <rPr>
        <sz val="6"/>
        <rFont val="Arial MT"/>
        <family val="2"/>
      </rPr>
      <t>Provinsi</t>
    </r>
  </si>
  <si>
    <r>
      <rPr>
        <sz val="6"/>
        <rFont val="Arial MT"/>
        <family val="2"/>
      </rPr>
      <t>1.03.09.1.01.0018</t>
    </r>
  </si>
  <si>
    <r>
      <rPr>
        <sz val="6"/>
        <rFont val="Arial MT"/>
        <family val="2"/>
      </rPr>
      <t xml:space="preserve">Pembinaan dan pengawasan penataan bangunan dan lingkungan kepada
</t>
    </r>
    <r>
      <rPr>
        <sz val="6"/>
        <rFont val="Arial MT"/>
        <family val="2"/>
      </rPr>
      <t>pemerintah Kabupaten/Kota</t>
    </r>
  </si>
  <si>
    <r>
      <rPr>
        <b/>
        <sz val="6"/>
        <rFont val="Arial"/>
        <family val="2"/>
      </rPr>
      <t>UPTD Laboratorium Bahan Konstruksi</t>
    </r>
  </si>
  <si>
    <r>
      <rPr>
        <b/>
        <sz val="6"/>
        <rFont val="Arial"/>
        <family val="2"/>
      </rPr>
      <t xml:space="preserve">Pemeliharaan Barang Milik Daerah
</t>
    </r>
    <r>
      <rPr>
        <b/>
        <sz val="6"/>
        <rFont val="Arial"/>
        <family val="2"/>
      </rPr>
      <t>Penunjang Urusan Pemerintahan Daerah</t>
    </r>
  </si>
  <si>
    <r>
      <rPr>
        <b/>
        <sz val="6"/>
        <rFont val="Arial"/>
        <family val="2"/>
      </rPr>
      <t>PROGRAM PENYELENGGARAAN JALAN</t>
    </r>
  </si>
  <si>
    <r>
      <rPr>
        <b/>
        <sz val="6"/>
        <rFont val="Arial"/>
        <family val="2"/>
      </rPr>
      <t>1.03.0.00.0.00.01.0003</t>
    </r>
  </si>
  <si>
    <r>
      <rPr>
        <b/>
        <sz val="6"/>
        <rFont val="Arial"/>
        <family val="2"/>
      </rPr>
      <t>UPTD Workshop dan Peralatan</t>
    </r>
  </si>
  <si>
    <r>
      <rPr>
        <b/>
        <sz val="6"/>
        <rFont val="Arial"/>
        <family val="2"/>
      </rPr>
      <t>PROGRAM PENUNJANG URUSAN PEMERINTAHAN DAERAH PROVINSI</t>
    </r>
  </si>
  <si>
    <r>
      <rPr>
        <sz val="6"/>
        <rFont val="Arial MT"/>
        <family val="2"/>
      </rPr>
      <t>1.03.01.1.07.0007</t>
    </r>
  </si>
  <si>
    <r>
      <rPr>
        <sz val="6"/>
        <rFont val="Arial MT"/>
        <family val="2"/>
      </rPr>
      <t>Pengadaan Aset Tetap Lainnya</t>
    </r>
  </si>
  <si>
    <r>
      <rPr>
        <sz val="6"/>
        <rFont val="Arial MT"/>
        <family val="2"/>
      </rPr>
      <t>Penyediaan Jasa Pelayanan Umum Kantor</t>
    </r>
  </si>
  <si>
    <r>
      <rPr>
        <b/>
        <sz val="6"/>
        <rFont val="Arial"/>
        <family val="2"/>
      </rPr>
      <t>Pemeliharaan Barang Milik Daerah Penunjang Urusan Pemerintahan</t>
    </r>
  </si>
  <si>
    <r>
      <rPr>
        <b/>
        <sz val="6"/>
        <rFont val="Arial"/>
        <family val="2"/>
      </rPr>
      <t>Daerah</t>
    </r>
  </si>
  <si>
    <r>
      <rPr>
        <sz val="6"/>
        <rFont val="Arial MT"/>
        <family val="2"/>
      </rPr>
      <t>1.03.01.1.09.0003</t>
    </r>
  </si>
  <si>
    <r>
      <rPr>
        <sz val="6"/>
        <rFont val="Arial MT"/>
        <family val="2"/>
      </rPr>
      <t xml:space="preserve">Penyediaan Jasa Pemeliharaan, Biaya
</t>
    </r>
    <r>
      <rPr>
        <sz val="6"/>
        <rFont val="Arial MT"/>
        <family val="2"/>
      </rPr>
      <t>Pemeliharaan dan Perizinan Alat Besar</t>
    </r>
  </si>
  <si>
    <r>
      <rPr>
        <sz val="6"/>
        <rFont val="Arial MT"/>
        <family val="2"/>
      </rPr>
      <t>1.03.10.1.01.0045</t>
    </r>
  </si>
  <si>
    <r>
      <rPr>
        <sz val="6"/>
        <rFont val="Arial MT"/>
        <family val="2"/>
      </rPr>
      <t>Pemeliharaan Rutin Jalan</t>
    </r>
  </si>
  <si>
    <r>
      <rPr>
        <b/>
        <sz val="6"/>
        <rFont val="Arial"/>
        <family val="2"/>
      </rPr>
      <t>1.03.0.00.0.00.01.0004</t>
    </r>
  </si>
  <si>
    <r>
      <rPr>
        <b/>
        <sz val="6"/>
        <rFont val="Arial"/>
        <family val="2"/>
      </rPr>
      <t>UPTD Jalan dan Jembatan Wilayah I</t>
    </r>
  </si>
  <si>
    <r>
      <rPr>
        <b/>
        <sz val="6"/>
        <rFont val="Arial"/>
        <family val="2"/>
      </rPr>
      <t xml:space="preserve">Pemeliharaan Barang Milik Daerah Penunjang Urusan Pemerintahan
</t>
    </r>
    <r>
      <rPr>
        <b/>
        <sz val="6"/>
        <rFont val="Arial"/>
        <family val="2"/>
      </rPr>
      <t>Daerah</t>
    </r>
  </si>
  <si>
    <r>
      <rPr>
        <sz val="6"/>
        <rFont val="Arial MT"/>
        <family val="2"/>
      </rPr>
      <t>Penyediaan Jasa Pemeliharaan, Biaya Pemeliharaan, Pajak dan Perizinan Kendaraan Dinas Operasional atau Lapangan</t>
    </r>
  </si>
  <si>
    <r>
      <rPr>
        <sz val="6"/>
        <rFont val="Arial MT"/>
        <family val="2"/>
      </rPr>
      <t>1.03.10.1.01.0056</t>
    </r>
  </si>
  <si>
    <r>
      <rPr>
        <sz val="6"/>
        <rFont val="Arial MT"/>
        <family val="2"/>
      </rPr>
      <t>Pemeliharaan Berkala Jalan</t>
    </r>
  </si>
  <si>
    <r>
      <rPr>
        <sz val="6"/>
        <rFont val="Arial MT"/>
        <family val="2"/>
      </rPr>
      <t>1.03.10.1.01.0057</t>
    </r>
  </si>
  <si>
    <r>
      <rPr>
        <sz val="6"/>
        <rFont val="Arial MT"/>
        <family val="2"/>
      </rPr>
      <t>Pemeliharaan Rutin Jembatan</t>
    </r>
  </si>
  <si>
    <r>
      <rPr>
        <sz val="6"/>
        <rFont val="Arial MT"/>
        <family val="2"/>
      </rPr>
      <t xml:space="preserve">Pemantauan dan Evaluasi
</t>
    </r>
    <r>
      <rPr>
        <sz val="6"/>
        <rFont val="Arial MT"/>
        <family val="2"/>
      </rPr>
      <t>Penyelenggaraan Jalan/Jembatan Kewenangan Provinsi</t>
    </r>
  </si>
  <si>
    <r>
      <rPr>
        <b/>
        <sz val="6"/>
        <rFont val="Arial"/>
        <family val="2"/>
      </rPr>
      <t>1.03.0.00.0.00.01.0005</t>
    </r>
  </si>
  <si>
    <r>
      <rPr>
        <b/>
        <sz val="6"/>
        <rFont val="Arial"/>
        <family val="2"/>
      </rPr>
      <t>UPTD Jalan dan Jembatan Wilayah II</t>
    </r>
  </si>
  <si>
    <r>
      <rPr>
        <b/>
        <sz val="6"/>
        <rFont val="Arial"/>
        <family val="2"/>
      </rPr>
      <t>1.03.0.00.0.00.01.0006</t>
    </r>
  </si>
  <si>
    <r>
      <rPr>
        <b/>
        <sz val="6"/>
        <rFont val="Arial"/>
        <family val="2"/>
      </rPr>
      <t>UPTD Jalan dan Jembatan Wilayah III</t>
    </r>
  </si>
  <si>
    <r>
      <rPr>
        <b/>
        <sz val="6"/>
        <rFont val="Arial"/>
        <family val="2"/>
      </rPr>
      <t xml:space="preserve">URUSAN PEMERINTAHAN BIDANG
</t>
    </r>
    <r>
      <rPr>
        <b/>
        <sz val="6"/>
        <rFont val="Arial"/>
        <family val="2"/>
      </rPr>
      <t>PEKERJAAN UMUM DAN PENATAAN RUANG</t>
    </r>
  </si>
  <si>
    <r>
      <rPr>
        <b/>
        <sz val="6"/>
        <rFont val="Arial"/>
        <family val="2"/>
      </rPr>
      <t>Penyediaan Jasa Penunjang Urusan Pemerintahan Daerah</t>
    </r>
  </si>
  <si>
    <r>
      <rPr>
        <b/>
        <sz val="6"/>
        <rFont val="Arial"/>
        <family val="2"/>
      </rPr>
      <t>1.03.0.00.0.00.01.0007</t>
    </r>
  </si>
  <si>
    <r>
      <rPr>
        <b/>
        <sz val="6"/>
        <rFont val="Arial"/>
        <family val="2"/>
      </rPr>
      <t>UPTD Jalan dan Jembatan Wilayah IV</t>
    </r>
  </si>
  <si>
    <r>
      <rPr>
        <b/>
        <sz val="6"/>
        <rFont val="Arial"/>
        <family val="2"/>
      </rPr>
      <t>Pengadaan Barang Milik Daerah Penunjang Urusan Pemerintah Daerah</t>
    </r>
  </si>
  <si>
    <r>
      <rPr>
        <sz val="6"/>
        <rFont val="Arial MT"/>
        <family val="2"/>
      </rPr>
      <t>1.03.01.1.07.0003</t>
    </r>
  </si>
  <si>
    <r>
      <rPr>
        <sz val="6"/>
        <rFont val="Arial MT"/>
        <family val="2"/>
      </rPr>
      <t>Pengadaan Alat Besar</t>
    </r>
  </si>
  <si>
    <r>
      <rPr>
        <sz val="6"/>
        <rFont val="Arial MT"/>
        <family val="2"/>
      </rPr>
      <t>1.03.01.1.07.0009</t>
    </r>
  </si>
  <si>
    <r>
      <rPr>
        <sz val="6"/>
        <rFont val="Arial MT"/>
        <family val="2"/>
      </rPr>
      <t xml:space="preserve">Pengadaan Gedung Kantor atau
</t>
    </r>
    <r>
      <rPr>
        <sz val="6"/>
        <rFont val="Arial MT"/>
        <family val="2"/>
      </rPr>
      <t>Bangunan Lainnya</t>
    </r>
  </si>
  <si>
    <r>
      <rPr>
        <sz val="6"/>
        <rFont val="Arial MT"/>
        <family val="2"/>
      </rPr>
      <t xml:space="preserve">Pemeliharaan/Rehabilitasi Gedung Kantor
</t>
    </r>
    <r>
      <rPr>
        <sz val="6"/>
        <rFont val="Arial MT"/>
        <family val="2"/>
      </rPr>
      <t>dan Bangunan Lainnya</t>
    </r>
  </si>
  <si>
    <r>
      <rPr>
        <b/>
        <sz val="6"/>
        <rFont val="Arial"/>
        <family val="2"/>
      </rPr>
      <t>1.03.0.00.0.00.01.0008</t>
    </r>
  </si>
  <si>
    <r>
      <rPr>
        <b/>
        <sz val="6"/>
        <rFont val="Arial"/>
        <family val="2"/>
      </rPr>
      <t>UPTD Jalan dan Jembatan Wilayah V</t>
    </r>
  </si>
  <si>
    <r>
      <rPr>
        <b/>
        <sz val="6"/>
        <rFont val="Arial"/>
        <family val="2"/>
      </rPr>
      <t>1.03.0.00.0.00.01.0009</t>
    </r>
  </si>
  <si>
    <r>
      <rPr>
        <b/>
        <sz val="6"/>
        <rFont val="Arial"/>
        <family val="2"/>
      </rPr>
      <t>UPTD Jalan dan Jembatan Wilayah VI</t>
    </r>
  </si>
  <si>
    <t>1.03.0.00.0.00.01.0001</t>
  </si>
  <si>
    <t>1.03.0.00.0.00.01.0002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</si>
</sst>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.d\.yy;@"/>
  </numFmts>
  <fonts count="14" x14ac:knownFonts="1">
    <font>
      <sz val="10"/>
      <color rgb="FF000000"/>
      <name val="Times New Roman"/>
      <charset val="204"/>
    </font>
    <font>
      <sz val="5"/>
      <name val="Arial MT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  <font>
      <sz val="6"/>
      <name val="Arial MT"/>
    </font>
    <font>
      <sz val="6"/>
      <name val="Arial MT"/>
      <family val="2"/>
    </font>
    <font>
      <sz val="6"/>
      <color rgb="FF000000"/>
      <name val="Arial MT"/>
      <family val="2"/>
    </font>
    <font>
      <b/>
      <sz val="6"/>
      <name val="Arial"/>
      <family val="2"/>
    </font>
    <font>
      <b/>
      <sz val="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BE3D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9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 indent="2"/>
    </xf>
    <xf numFmtId="4" fontId="7" fillId="2" borderId="1" xfId="0" applyNumberFormat="1" applyFont="1" applyFill="1" applyBorder="1" applyAlignment="1">
      <alignment horizontal="center" vertical="center" shrinkToFit="1"/>
    </xf>
    <xf numFmtId="4" fontId="7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4" fontId="7" fillId="2" borderId="5" xfId="0" applyNumberFormat="1" applyFont="1" applyFill="1" applyBorder="1" applyAlignment="1">
      <alignment horizontal="right" vertical="center" shrinkToFit="1"/>
    </xf>
    <xf numFmtId="4" fontId="7" fillId="2" borderId="6" xfId="0" applyNumberFormat="1" applyFont="1" applyFill="1" applyBorder="1" applyAlignment="1">
      <alignment horizontal="right" vertical="center" shrinkToFit="1"/>
    </xf>
    <xf numFmtId="4" fontId="7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8" fillId="0" borderId="0" xfId="0" applyNumberFormat="1" applyFont="1" applyFill="1" applyBorder="1" applyAlignment="1">
      <alignment horizontal="left" vertical="top"/>
    </xf>
    <xf numFmtId="4" fontId="7" fillId="2" borderId="5" xfId="0" applyNumberFormat="1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center" vertical="top"/>
    </xf>
    <xf numFmtId="0" fontId="9" fillId="0" borderId="1" xfId="1" applyFont="1" applyFill="1" applyBorder="1" applyAlignment="1">
      <alignment horizontal="left" vertical="top" wrapText="1" indent="2"/>
    </xf>
    <xf numFmtId="0" fontId="9" fillId="0" borderId="1" xfId="1" applyFont="1" applyFill="1" applyBorder="1" applyAlignment="1">
      <alignment horizontal="center" vertical="top" wrapText="1"/>
    </xf>
    <xf numFmtId="0" fontId="12" fillId="3" borderId="1" xfId="1" applyFont="1" applyFill="1" applyBorder="1" applyAlignment="1">
      <alignment horizontal="left" vertical="top" wrapText="1"/>
    </xf>
    <xf numFmtId="4" fontId="13" fillId="3" borderId="1" xfId="1" applyNumberFormat="1" applyFont="1" applyFill="1" applyBorder="1" applyAlignment="1">
      <alignment horizontal="right" vertical="top" shrinkToFit="1"/>
    </xf>
    <xf numFmtId="0" fontId="12" fillId="0" borderId="1" xfId="1" applyFont="1" applyFill="1" applyBorder="1" applyAlignment="1">
      <alignment horizontal="left" vertical="top" wrapText="1"/>
    </xf>
    <xf numFmtId="4" fontId="13" fillId="0" borderId="1" xfId="1" applyNumberFormat="1" applyFont="1" applyFill="1" applyBorder="1" applyAlignment="1">
      <alignment horizontal="right" vertical="top" shrinkToFit="1"/>
    </xf>
    <xf numFmtId="164" fontId="13" fillId="0" borderId="1" xfId="1" applyNumberFormat="1" applyFont="1" applyFill="1" applyBorder="1" applyAlignment="1">
      <alignment horizontal="left" vertical="top" shrinkToFit="1"/>
    </xf>
    <xf numFmtId="0" fontId="4" fillId="3" borderId="1" xfId="1" applyFill="1" applyBorder="1" applyAlignment="1">
      <alignment horizontal="left" vertical="top" wrapText="1"/>
    </xf>
    <xf numFmtId="0" fontId="4" fillId="0" borderId="1" xfId="1" applyFill="1" applyBorder="1" applyAlignment="1">
      <alignment horizontal="left" vertical="top" wrapText="1"/>
    </xf>
    <xf numFmtId="0" fontId="12" fillId="0" borderId="1" xfId="1" applyFont="1" applyFill="1" applyBorder="1" applyAlignment="1">
      <alignment horizontal="left" vertical="center" wrapText="1"/>
    </xf>
    <xf numFmtId="4" fontId="13" fillId="0" borderId="1" xfId="1" applyNumberFormat="1" applyFont="1" applyFill="1" applyBorder="1" applyAlignment="1">
      <alignment horizontal="right" vertical="center" shrinkToFit="1"/>
    </xf>
    <xf numFmtId="0" fontId="9" fillId="0" borderId="1" xfId="1" applyFont="1" applyFill="1" applyBorder="1" applyAlignment="1">
      <alignment horizontal="left" vertical="top" wrapText="1"/>
    </xf>
    <xf numFmtId="4" fontId="11" fillId="0" borderId="1" xfId="1" applyNumberFormat="1" applyFont="1" applyFill="1" applyBorder="1" applyAlignment="1">
      <alignment horizontal="right" vertical="top" shrinkToFit="1"/>
    </xf>
    <xf numFmtId="2" fontId="11" fillId="0" borderId="1" xfId="1" applyNumberFormat="1" applyFont="1" applyFill="1" applyBorder="1" applyAlignment="1">
      <alignment horizontal="right" vertical="top" shrinkToFit="1"/>
    </xf>
    <xf numFmtId="0" fontId="9" fillId="0" borderId="1" xfId="1" applyFont="1" applyFill="1" applyBorder="1" applyAlignment="1">
      <alignment horizontal="left" vertical="center" wrapText="1"/>
    </xf>
    <xf numFmtId="4" fontId="11" fillId="0" borderId="1" xfId="1" applyNumberFormat="1" applyFont="1" applyFill="1" applyBorder="1" applyAlignment="1">
      <alignment horizontal="right" vertical="center" shrinkToFit="1"/>
    </xf>
    <xf numFmtId="2" fontId="11" fillId="0" borderId="1" xfId="1" applyNumberFormat="1" applyFont="1" applyFill="1" applyBorder="1" applyAlignment="1">
      <alignment horizontal="right" vertical="center" shrinkToFit="1"/>
    </xf>
    <xf numFmtId="2" fontId="13" fillId="0" borderId="1" xfId="1" applyNumberFormat="1" applyFont="1" applyFill="1" applyBorder="1" applyAlignment="1">
      <alignment horizontal="right" vertical="center" shrinkToFit="1"/>
    </xf>
    <xf numFmtId="2" fontId="13" fillId="0" borderId="1" xfId="1" applyNumberFormat="1" applyFont="1" applyFill="1" applyBorder="1" applyAlignment="1">
      <alignment horizontal="right" vertical="top" shrinkToFit="1"/>
    </xf>
    <xf numFmtId="164" fontId="13" fillId="0" borderId="1" xfId="1" applyNumberFormat="1" applyFont="1" applyFill="1" applyBorder="1" applyAlignment="1">
      <alignment horizontal="left" vertical="center" shrinkToFit="1"/>
    </xf>
    <xf numFmtId="0" fontId="12" fillId="3" borderId="1" xfId="1" applyFont="1" applyFill="1" applyBorder="1" applyAlignment="1">
      <alignment horizontal="left" vertical="center" wrapText="1"/>
    </xf>
    <xf numFmtId="4" fontId="13" fillId="3" borderId="1" xfId="1" applyNumberFormat="1" applyFont="1" applyFill="1" applyBorder="1" applyAlignment="1">
      <alignment horizontal="right" vertical="center" shrinkToFit="1"/>
    </xf>
    <xf numFmtId="0" fontId="12" fillId="0" borderId="2" xfId="1" applyFont="1" applyFill="1" applyBorder="1" applyAlignment="1">
      <alignment horizontal="left" vertical="top" wrapText="1"/>
    </xf>
    <xf numFmtId="4" fontId="13" fillId="0" borderId="2" xfId="1" applyNumberFormat="1" applyFont="1" applyFill="1" applyBorder="1" applyAlignment="1">
      <alignment horizontal="right" vertical="top" shrinkToFit="1"/>
    </xf>
    <xf numFmtId="2" fontId="13" fillId="0" borderId="2" xfId="1" applyNumberFormat="1" applyFont="1" applyFill="1" applyBorder="1" applyAlignment="1">
      <alignment horizontal="right" vertical="top" shrinkToFit="1"/>
    </xf>
    <xf numFmtId="0" fontId="4" fillId="0" borderId="1" xfId="1" applyFill="1" applyBorder="1" applyAlignment="1">
      <alignment horizontal="left" vertical="center" wrapText="1"/>
    </xf>
    <xf numFmtId="0" fontId="12" fillId="2" borderId="5" xfId="1" applyFont="1" applyFill="1" applyBorder="1" applyAlignment="1">
      <alignment horizontal="left" vertical="top" wrapText="1"/>
    </xf>
    <xf numFmtId="0" fontId="12" fillId="2" borderId="6" xfId="1" applyFont="1" applyFill="1" applyBorder="1" applyAlignment="1">
      <alignment horizontal="left" vertical="top" wrapText="1"/>
    </xf>
    <xf numFmtId="0" fontId="12" fillId="2" borderId="7" xfId="1" applyFont="1" applyFill="1" applyBorder="1" applyAlignment="1">
      <alignment horizontal="left" vertical="top" wrapText="1"/>
    </xf>
    <xf numFmtId="0" fontId="9" fillId="0" borderId="2" xfId="1" applyFont="1" applyFill="1" applyBorder="1" applyAlignment="1">
      <alignment horizontal="left" vertical="top" wrapText="1" indent="2"/>
    </xf>
    <xf numFmtId="0" fontId="9" fillId="0" borderId="3" xfId="1" applyFont="1" applyFill="1" applyBorder="1" applyAlignment="1">
      <alignment horizontal="left" vertical="top" wrapText="1" indent="2"/>
    </xf>
    <xf numFmtId="0" fontId="9" fillId="0" borderId="4" xfId="1" applyFont="1" applyFill="1" applyBorder="1" applyAlignment="1">
      <alignment horizontal="left" vertical="top" wrapText="1" indent="2"/>
    </xf>
    <xf numFmtId="0" fontId="9" fillId="0" borderId="2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left" vertical="center" wrapText="1"/>
    </xf>
    <xf numFmtId="0" fontId="9" fillId="0" borderId="3" xfId="1" applyFont="1" applyFill="1" applyBorder="1" applyAlignment="1">
      <alignment horizontal="left" vertical="center" wrapText="1"/>
    </xf>
    <xf numFmtId="0" fontId="9" fillId="0" borderId="4" xfId="1" applyFont="1" applyFill="1" applyBorder="1" applyAlignment="1">
      <alignment horizontal="left" vertical="center" wrapText="1"/>
    </xf>
    <xf numFmtId="0" fontId="9" fillId="0" borderId="2" xfId="1" applyFont="1" applyFill="1" applyBorder="1" applyAlignment="1">
      <alignment horizontal="left" vertical="center" wrapText="1" indent="1"/>
    </xf>
    <xf numFmtId="0" fontId="9" fillId="0" borderId="3" xfId="1" applyFont="1" applyFill="1" applyBorder="1" applyAlignment="1">
      <alignment horizontal="left" vertical="center" wrapText="1" indent="1"/>
    </xf>
    <xf numFmtId="0" fontId="9" fillId="0" borderId="4" xfId="1" applyFont="1" applyFill="1" applyBorder="1" applyAlignment="1">
      <alignment horizontal="left" vertical="center" wrapText="1" indent="1"/>
    </xf>
    <xf numFmtId="0" fontId="9" fillId="0" borderId="5" xfId="1" applyFont="1" applyFill="1" applyBorder="1" applyAlignment="1">
      <alignment horizontal="center" vertical="top" wrapText="1"/>
    </xf>
    <xf numFmtId="0" fontId="9" fillId="0" borderId="6" xfId="1" applyFont="1" applyFill="1" applyBorder="1" applyAlignment="1">
      <alignment horizontal="center" vertical="top" wrapText="1"/>
    </xf>
    <xf numFmtId="0" fontId="9" fillId="0" borderId="7" xfId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3"/>
    </xf>
    <xf numFmtId="0" fontId="5" fillId="0" borderId="3" xfId="0" applyFont="1" applyFill="1" applyBorder="1" applyAlignment="1">
      <alignment horizontal="left" vertical="top" wrapText="1" indent="3"/>
    </xf>
    <xf numFmtId="0" fontId="5" fillId="0" borderId="4" xfId="0" applyFont="1" applyFill="1" applyBorder="1" applyAlignment="1">
      <alignment horizontal="left" vertical="top" wrapText="1" indent="3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 indent="1"/>
    </xf>
    <xf numFmtId="0" fontId="5" fillId="0" borderId="3" xfId="0" applyFont="1" applyFill="1" applyBorder="1" applyAlignment="1">
      <alignment horizontal="left" vertical="center" wrapText="1" indent="1"/>
    </xf>
    <xf numFmtId="0" fontId="5" fillId="0" borderId="4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center" wrapText="1" indent="2"/>
    </xf>
    <xf numFmtId="0" fontId="5" fillId="0" borderId="3" xfId="0" applyFont="1" applyFill="1" applyBorder="1" applyAlignment="1">
      <alignment horizontal="left" vertical="center" wrapText="1" indent="2"/>
    </xf>
    <xf numFmtId="0" fontId="5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7"/>
  <sheetViews>
    <sheetView tabSelected="1" topLeftCell="A295" zoomScale="115" zoomScaleNormal="115" workbookViewId="0">
      <selection activeCell="B295" sqref="B295:B317"/>
    </sheetView>
  </sheetViews>
  <sheetFormatPr defaultRowHeight="12.75" x14ac:dyDescent="0.2"/>
  <cols>
    <col min="1" max="1" width="5.6640625" customWidth="1"/>
    <col min="2" max="2" width="24.832031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8"/>
    </row>
    <row r="2" spans="1:30" ht="34.35" customHeight="1" x14ac:dyDescent="0.2">
      <c r="B2" s="1"/>
      <c r="C2" s="1"/>
      <c r="D2" s="1"/>
      <c r="E2" s="1"/>
      <c r="F2" s="1"/>
      <c r="G2" s="77" t="s">
        <v>27</v>
      </c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7" t="s">
        <v>28</v>
      </c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</row>
    <row r="3" spans="1:30" s="2" customFormat="1" ht="12.6" customHeight="1" x14ac:dyDescent="0.2">
      <c r="A3" s="75" t="s">
        <v>26</v>
      </c>
      <c r="B3" s="75" t="s">
        <v>2</v>
      </c>
      <c r="C3" s="79" t="s">
        <v>3</v>
      </c>
      <c r="D3" s="82" t="s">
        <v>4</v>
      </c>
      <c r="E3" s="85" t="s">
        <v>5</v>
      </c>
      <c r="F3" s="88" t="s">
        <v>6</v>
      </c>
      <c r="G3" s="72" t="s">
        <v>7</v>
      </c>
      <c r="H3" s="73"/>
      <c r="I3" s="73"/>
      <c r="J3" s="73"/>
      <c r="K3" s="73"/>
      <c r="L3" s="74"/>
      <c r="M3" s="72" t="s">
        <v>8</v>
      </c>
      <c r="N3" s="73"/>
      <c r="O3" s="73"/>
      <c r="P3" s="73"/>
      <c r="Q3" s="73"/>
      <c r="R3" s="74"/>
      <c r="S3" s="72" t="s">
        <v>7</v>
      </c>
      <c r="T3" s="73"/>
      <c r="U3" s="73"/>
      <c r="V3" s="73"/>
      <c r="W3" s="73"/>
      <c r="X3" s="74"/>
      <c r="Y3" s="72" t="s">
        <v>8</v>
      </c>
      <c r="Z3" s="73"/>
      <c r="AA3" s="73"/>
      <c r="AB3" s="73"/>
      <c r="AC3" s="73"/>
      <c r="AD3" s="74"/>
    </row>
    <row r="4" spans="1:30" s="2" customFormat="1" ht="12.6" customHeight="1" x14ac:dyDescent="0.2">
      <c r="A4" s="75"/>
      <c r="B4" s="75"/>
      <c r="C4" s="80"/>
      <c r="D4" s="83"/>
      <c r="E4" s="86"/>
      <c r="F4" s="89"/>
      <c r="G4" s="72" t="s">
        <v>9</v>
      </c>
      <c r="H4" s="73"/>
      <c r="I4" s="74"/>
      <c r="J4" s="72" t="s">
        <v>10</v>
      </c>
      <c r="K4" s="73"/>
      <c r="L4" s="74"/>
      <c r="M4" s="72" t="s">
        <v>11</v>
      </c>
      <c r="N4" s="73"/>
      <c r="O4" s="74"/>
      <c r="P4" s="72" t="s">
        <v>12</v>
      </c>
      <c r="Q4" s="73"/>
      <c r="R4" s="74"/>
      <c r="S4" s="72" t="s">
        <v>9</v>
      </c>
      <c r="T4" s="73"/>
      <c r="U4" s="74"/>
      <c r="V4" s="72" t="s">
        <v>10</v>
      </c>
      <c r="W4" s="73"/>
      <c r="X4" s="74"/>
      <c r="Y4" s="72" t="s">
        <v>11</v>
      </c>
      <c r="Z4" s="73"/>
      <c r="AA4" s="74"/>
      <c r="AB4" s="72" t="s">
        <v>12</v>
      </c>
      <c r="AC4" s="73"/>
      <c r="AD4" s="74"/>
    </row>
    <row r="5" spans="1:30" s="2" customFormat="1" ht="13.35" customHeight="1" x14ac:dyDescent="0.2">
      <c r="A5" s="75"/>
      <c r="B5" s="75"/>
      <c r="C5" s="81"/>
      <c r="D5" s="84"/>
      <c r="E5" s="87"/>
      <c r="F5" s="90"/>
      <c r="G5" s="3" t="s">
        <v>13</v>
      </c>
      <c r="H5" s="4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4" t="s">
        <v>20</v>
      </c>
      <c r="O5" s="4" t="s">
        <v>21</v>
      </c>
      <c r="P5" s="4" t="s">
        <v>22</v>
      </c>
      <c r="Q5" s="4" t="s">
        <v>23</v>
      </c>
      <c r="R5" s="4" t="s">
        <v>24</v>
      </c>
      <c r="S5" s="26" t="s">
        <v>30</v>
      </c>
      <c r="T5" s="26" t="s">
        <v>29</v>
      </c>
      <c r="U5" s="26" t="s">
        <v>31</v>
      </c>
      <c r="V5" s="26" t="s">
        <v>16</v>
      </c>
      <c r="W5" s="26" t="s">
        <v>32</v>
      </c>
      <c r="X5" s="26" t="s">
        <v>33</v>
      </c>
      <c r="Y5" s="26" t="s">
        <v>34</v>
      </c>
      <c r="Z5" s="26" t="s">
        <v>35</v>
      </c>
      <c r="AA5" s="26" t="s">
        <v>21</v>
      </c>
      <c r="AB5" s="26" t="s">
        <v>36</v>
      </c>
      <c r="AC5" s="26" t="s">
        <v>23</v>
      </c>
      <c r="AD5" s="26" t="s">
        <v>37</v>
      </c>
    </row>
    <row r="6" spans="1:30" s="2" customFormat="1" ht="13.35" customHeight="1" x14ac:dyDescent="0.2">
      <c r="A6" s="27"/>
      <c r="B6" s="27"/>
      <c r="C6" s="54" t="s">
        <v>38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  <c r="S6" s="24" t="e">
        <f>G6/$E6*100</f>
        <v>#DIV/0!</v>
      </c>
      <c r="T6" s="24" t="e">
        <f t="shared" ref="T6" si="0">H6/$E6*100</f>
        <v>#DIV/0!</v>
      </c>
      <c r="U6" s="24" t="e">
        <f t="shared" ref="U6" si="1">I6/$E6*100</f>
        <v>#DIV/0!</v>
      </c>
      <c r="V6" s="24" t="e">
        <f t="shared" ref="V6" si="2">J6/$E6*100</f>
        <v>#DIV/0!</v>
      </c>
      <c r="W6" s="24" t="e">
        <f t="shared" ref="W6" si="3">K6/$E6*100</f>
        <v>#DIV/0!</v>
      </c>
      <c r="X6" s="24" t="e">
        <f t="shared" ref="X6" si="4">L6/$E6*100</f>
        <v>#DIV/0!</v>
      </c>
      <c r="Y6" s="24" t="e">
        <f t="shared" ref="Y6" si="5">M6/$E6*100</f>
        <v>#DIV/0!</v>
      </c>
      <c r="Z6" s="24" t="e">
        <f t="shared" ref="Z6" si="6">N6/$E6*100</f>
        <v>#DIV/0!</v>
      </c>
      <c r="AA6" s="24" t="e">
        <f t="shared" ref="AA6" si="7">O6/$E6*100</f>
        <v>#DIV/0!</v>
      </c>
      <c r="AB6" s="24" t="e">
        <f t="shared" ref="AB6" si="8">P6/$E6*100</f>
        <v>#DIV/0!</v>
      </c>
      <c r="AC6" s="24" t="e">
        <f t="shared" ref="AC6" si="9">Q6/$E6*100</f>
        <v>#DIV/0!</v>
      </c>
      <c r="AD6" s="24" t="e">
        <f t="shared" ref="AD6" si="10">R6/$E6*100</f>
        <v>#DIV/0!</v>
      </c>
    </row>
    <row r="7" spans="1:30" ht="24.75" x14ac:dyDescent="0.2">
      <c r="C7" s="30" t="s">
        <v>82</v>
      </c>
      <c r="D7" s="35" t="s">
        <v>83</v>
      </c>
      <c r="E7" s="31">
        <v>176761301243.20001</v>
      </c>
      <c r="F7" s="31">
        <v>176761301243.20001</v>
      </c>
      <c r="G7" s="31">
        <v>3533885769</v>
      </c>
      <c r="H7" s="31">
        <v>4947550398</v>
      </c>
      <c r="I7" s="31">
        <v>13568808100.299999</v>
      </c>
      <c r="J7" s="31">
        <v>21458703892.240002</v>
      </c>
      <c r="K7" s="31">
        <v>14314144167.15</v>
      </c>
      <c r="L7" s="31">
        <v>18741117725.75</v>
      </c>
      <c r="M7" s="31">
        <v>35252311216.75</v>
      </c>
      <c r="N7" s="31">
        <v>28756748104.759998</v>
      </c>
      <c r="O7" s="31">
        <v>16897891139.6</v>
      </c>
      <c r="P7" s="31">
        <v>10625214229.799999</v>
      </c>
      <c r="Q7" s="31">
        <v>5305724951.8500004</v>
      </c>
      <c r="R7" s="31">
        <v>3359201548</v>
      </c>
      <c r="S7" s="24">
        <f t="shared" ref="S7:S51" si="11">G7/$E7*100</f>
        <v>1.9992417707639771</v>
      </c>
      <c r="T7" s="24">
        <f t="shared" ref="T7:T51" si="12">H7/$E7*100</f>
        <v>2.7990008917126206</v>
      </c>
      <c r="U7" s="24">
        <f t="shared" ref="U7:U51" si="13">I7/$E7*100</f>
        <v>7.6763454471468995</v>
      </c>
      <c r="V7" s="24">
        <f t="shared" ref="V7:V51" si="14">J7/$E7*100</f>
        <v>12.139933198792015</v>
      </c>
      <c r="W7" s="24">
        <f t="shared" ref="W7:W51" si="15">K7/$E7*100</f>
        <v>8.0980079160288856</v>
      </c>
      <c r="X7" s="24">
        <f t="shared" ref="X7:X51" si="16">L7/$E7*100</f>
        <v>10.602500430772864</v>
      </c>
      <c r="Y7" s="24">
        <f t="shared" ref="Y7:Y51" si="17">M7/$E7*100</f>
        <v>19.943455365406884</v>
      </c>
      <c r="Z7" s="24">
        <f t="shared" ref="Z7:Z51" si="18">N7/$E7*100</f>
        <v>16.268689980503449</v>
      </c>
      <c r="AA7" s="24">
        <f t="shared" ref="AA7:AA51" si="19">O7/$E7*100</f>
        <v>9.5597232090698139</v>
      </c>
      <c r="AB7" s="24">
        <f t="shared" ref="AB7:AB51" si="20">P7/$E7*100</f>
        <v>6.0110522807144982</v>
      </c>
      <c r="AC7" s="24">
        <f t="shared" ref="AC7:AC51" si="21">Q7/$E7*100</f>
        <v>3.0016326619761808</v>
      </c>
      <c r="AD7" s="24">
        <f t="shared" ref="AD7:AD51" si="22">R7/$E7*100</f>
        <v>1.9004168471119058</v>
      </c>
    </row>
    <row r="8" spans="1:30" ht="33" x14ac:dyDescent="0.2">
      <c r="C8" s="32" t="s">
        <v>84</v>
      </c>
      <c r="D8" s="36" t="s">
        <v>85</v>
      </c>
      <c r="E8" s="33">
        <v>176761301243.20001</v>
      </c>
      <c r="F8" s="33">
        <v>176761301243.20001</v>
      </c>
      <c r="G8" s="33">
        <v>3533885769</v>
      </c>
      <c r="H8" s="33">
        <v>4947550398</v>
      </c>
      <c r="I8" s="33">
        <v>13568808100.299999</v>
      </c>
      <c r="J8" s="33">
        <v>21458703892.240002</v>
      </c>
      <c r="K8" s="33">
        <v>14314144167.15</v>
      </c>
      <c r="L8" s="33">
        <v>18741117725.75</v>
      </c>
      <c r="M8" s="33">
        <v>35252311216.75</v>
      </c>
      <c r="N8" s="33">
        <v>28756748104.759998</v>
      </c>
      <c r="O8" s="33">
        <v>16897891139.6</v>
      </c>
      <c r="P8" s="33">
        <v>10625214229.799999</v>
      </c>
      <c r="Q8" s="33">
        <v>5305724951.8500004</v>
      </c>
      <c r="R8" s="33">
        <v>3359201548</v>
      </c>
      <c r="S8" s="24">
        <f t="shared" si="11"/>
        <v>1.9992417707639771</v>
      </c>
      <c r="T8" s="24">
        <f t="shared" si="12"/>
        <v>2.7990008917126206</v>
      </c>
      <c r="U8" s="24">
        <f t="shared" si="13"/>
        <v>7.6763454471468995</v>
      </c>
      <c r="V8" s="24">
        <f t="shared" si="14"/>
        <v>12.139933198792015</v>
      </c>
      <c r="W8" s="24">
        <f t="shared" si="15"/>
        <v>8.0980079160288856</v>
      </c>
      <c r="X8" s="24">
        <f t="shared" si="16"/>
        <v>10.602500430772864</v>
      </c>
      <c r="Y8" s="24">
        <f t="shared" si="17"/>
        <v>19.943455365406884</v>
      </c>
      <c r="Z8" s="24">
        <f t="shared" si="18"/>
        <v>16.268689980503449</v>
      </c>
      <c r="AA8" s="24">
        <f t="shared" si="19"/>
        <v>9.5597232090698139</v>
      </c>
      <c r="AB8" s="24">
        <f t="shared" si="20"/>
        <v>6.0110522807144982</v>
      </c>
      <c r="AC8" s="24">
        <f t="shared" si="21"/>
        <v>3.0016326619761808</v>
      </c>
      <c r="AD8" s="24">
        <f t="shared" si="22"/>
        <v>1.9004168471119058</v>
      </c>
    </row>
    <row r="9" spans="1:30" ht="33" x14ac:dyDescent="0.2">
      <c r="C9" s="34">
        <v>36894</v>
      </c>
      <c r="D9" s="36" t="s">
        <v>39</v>
      </c>
      <c r="E9" s="33">
        <v>49554977258.199997</v>
      </c>
      <c r="F9" s="33">
        <v>49554977258.199997</v>
      </c>
      <c r="G9" s="33">
        <v>3264512316</v>
      </c>
      <c r="H9" s="33">
        <v>3917606716</v>
      </c>
      <c r="I9" s="33">
        <v>6976511679</v>
      </c>
      <c r="J9" s="33">
        <v>4018721329.4400001</v>
      </c>
      <c r="K9" s="33">
        <v>3828669787.4499998</v>
      </c>
      <c r="L9" s="33">
        <v>6511311723</v>
      </c>
      <c r="M9" s="33">
        <v>3855221413.1900001</v>
      </c>
      <c r="N9" s="33">
        <v>3730440909.1199999</v>
      </c>
      <c r="O9" s="33">
        <v>3636315564</v>
      </c>
      <c r="P9" s="33">
        <v>3552835105</v>
      </c>
      <c r="Q9" s="33">
        <v>3222797209</v>
      </c>
      <c r="R9" s="33">
        <v>3040033507</v>
      </c>
      <c r="S9" s="24">
        <f t="shared" si="11"/>
        <v>6.587657782568777</v>
      </c>
      <c r="T9" s="24">
        <f t="shared" si="12"/>
        <v>7.9055766600149999</v>
      </c>
      <c r="U9" s="24">
        <f t="shared" si="13"/>
        <v>14.078326870477129</v>
      </c>
      <c r="V9" s="24">
        <f t="shared" si="14"/>
        <v>8.1096219830774139</v>
      </c>
      <c r="W9" s="24">
        <f t="shared" si="15"/>
        <v>7.7261054273139829</v>
      </c>
      <c r="X9" s="24">
        <f t="shared" si="16"/>
        <v>13.139571609676311</v>
      </c>
      <c r="Y9" s="24">
        <f t="shared" si="17"/>
        <v>7.7796855664020432</v>
      </c>
      <c r="Z9" s="24">
        <f t="shared" si="18"/>
        <v>7.5278834044923579</v>
      </c>
      <c r="AA9" s="24">
        <f t="shared" si="19"/>
        <v>7.3379421507015001</v>
      </c>
      <c r="AB9" s="24">
        <f t="shared" si="20"/>
        <v>7.1694818594878935</v>
      </c>
      <c r="AC9" s="24">
        <f t="shared" si="21"/>
        <v>6.503478333181385</v>
      </c>
      <c r="AD9" s="24">
        <f t="shared" si="22"/>
        <v>6.1346683526062105</v>
      </c>
    </row>
    <row r="10" spans="1:30" ht="24.75" x14ac:dyDescent="0.2">
      <c r="C10" s="37" t="s">
        <v>86</v>
      </c>
      <c r="D10" s="36" t="s">
        <v>77</v>
      </c>
      <c r="E10" s="38">
        <v>811281055</v>
      </c>
      <c r="F10" s="38">
        <v>811281055</v>
      </c>
      <c r="G10" s="38">
        <v>10040000</v>
      </c>
      <c r="H10" s="38">
        <v>49770000</v>
      </c>
      <c r="I10" s="38">
        <v>197527500</v>
      </c>
      <c r="J10" s="38">
        <v>92530613.439999998</v>
      </c>
      <c r="K10" s="38">
        <v>69054071.450000003</v>
      </c>
      <c r="L10" s="38">
        <v>82135544</v>
      </c>
      <c r="M10" s="38">
        <v>181655315.19</v>
      </c>
      <c r="N10" s="38">
        <v>51175518.920000002</v>
      </c>
      <c r="O10" s="38">
        <v>45702892</v>
      </c>
      <c r="P10" s="38">
        <v>15563815</v>
      </c>
      <c r="Q10" s="38">
        <v>14391585</v>
      </c>
      <c r="R10" s="38">
        <v>1734200</v>
      </c>
      <c r="S10" s="24">
        <f t="shared" si="11"/>
        <v>1.2375489280961949</v>
      </c>
      <c r="T10" s="24">
        <f t="shared" si="12"/>
        <v>6.1347420469469736</v>
      </c>
      <c r="U10" s="24">
        <f t="shared" si="13"/>
        <v>24.347604172761066</v>
      </c>
      <c r="V10" s="24">
        <f t="shared" si="14"/>
        <v>11.405494171190773</v>
      </c>
      <c r="W10" s="24">
        <f t="shared" si="15"/>
        <v>8.5117322812376042</v>
      </c>
      <c r="X10" s="24">
        <f t="shared" si="16"/>
        <v>10.124178728665123</v>
      </c>
      <c r="Y10" s="24">
        <f t="shared" si="17"/>
        <v>22.391169382107659</v>
      </c>
      <c r="Z10" s="24">
        <f t="shared" si="18"/>
        <v>6.3079889028100133</v>
      </c>
      <c r="AA10" s="24">
        <f t="shared" si="19"/>
        <v>5.6334228093123659</v>
      </c>
      <c r="AB10" s="24">
        <f t="shared" si="20"/>
        <v>1.9184245587985533</v>
      </c>
      <c r="AC10" s="24">
        <f t="shared" si="21"/>
        <v>1.7739333257325969</v>
      </c>
      <c r="AD10" s="24">
        <f t="shared" si="22"/>
        <v>0.21376069234107778</v>
      </c>
    </row>
    <row r="11" spans="1:30" ht="16.5" x14ac:dyDescent="0.2">
      <c r="C11" s="39" t="s">
        <v>87</v>
      </c>
      <c r="D11" s="39" t="s">
        <v>88</v>
      </c>
      <c r="E11" s="40">
        <v>261532295</v>
      </c>
      <c r="F11" s="40">
        <v>261532295</v>
      </c>
      <c r="G11" s="40">
        <v>7040000</v>
      </c>
      <c r="H11" s="40">
        <v>23040000</v>
      </c>
      <c r="I11" s="40">
        <v>31540000</v>
      </c>
      <c r="J11" s="40">
        <v>48362690</v>
      </c>
      <c r="K11" s="40">
        <v>26220000</v>
      </c>
      <c r="L11" s="40">
        <v>40540000</v>
      </c>
      <c r="M11" s="40">
        <v>35563506.079999998</v>
      </c>
      <c r="N11" s="40">
        <v>17813698.920000002</v>
      </c>
      <c r="O11" s="40">
        <v>11495000</v>
      </c>
      <c r="P11" s="40">
        <v>8025815</v>
      </c>
      <c r="Q11" s="40">
        <v>11891585</v>
      </c>
      <c r="R11" s="41">
        <v>0</v>
      </c>
      <c r="S11" s="24">
        <f t="shared" si="11"/>
        <v>2.6918281736486884</v>
      </c>
      <c r="T11" s="24">
        <f t="shared" si="12"/>
        <v>8.8096194773957084</v>
      </c>
      <c r="U11" s="24">
        <f t="shared" si="13"/>
        <v>12.059696107511311</v>
      </c>
      <c r="V11" s="24">
        <f t="shared" si="14"/>
        <v>18.492052769238306</v>
      </c>
      <c r="W11" s="24">
        <f t="shared" si="15"/>
        <v>10.025530499015428</v>
      </c>
      <c r="X11" s="24">
        <f t="shared" si="16"/>
        <v>15.500953715869009</v>
      </c>
      <c r="Y11" s="24">
        <f t="shared" si="17"/>
        <v>13.598131764186139</v>
      </c>
      <c r="Z11" s="24">
        <f t="shared" si="18"/>
        <v>6.8112807712714805</v>
      </c>
      <c r="AA11" s="24">
        <f t="shared" si="19"/>
        <v>4.3952506897857493</v>
      </c>
      <c r="AB11" s="24">
        <f t="shared" si="20"/>
        <v>3.0687663257801487</v>
      </c>
      <c r="AC11" s="24">
        <f t="shared" si="21"/>
        <v>4.5468897062980309</v>
      </c>
      <c r="AD11" s="24">
        <f t="shared" si="22"/>
        <v>0</v>
      </c>
    </row>
    <row r="12" spans="1:30" ht="24.75" x14ac:dyDescent="0.2">
      <c r="C12" s="39" t="s">
        <v>89</v>
      </c>
      <c r="D12" s="36" t="s">
        <v>90</v>
      </c>
      <c r="E12" s="40">
        <v>348986906</v>
      </c>
      <c r="F12" s="40">
        <v>348986906</v>
      </c>
      <c r="G12" s="40">
        <v>3000000</v>
      </c>
      <c r="H12" s="40">
        <v>17540000</v>
      </c>
      <c r="I12" s="40">
        <v>126222500</v>
      </c>
      <c r="J12" s="40">
        <v>19946407.550000001</v>
      </c>
      <c r="K12" s="40">
        <v>13794071.449999999</v>
      </c>
      <c r="L12" s="40">
        <v>12889335</v>
      </c>
      <c r="M12" s="40">
        <v>118682500</v>
      </c>
      <c r="N12" s="40">
        <v>12500000</v>
      </c>
      <c r="O12" s="40">
        <v>12639892</v>
      </c>
      <c r="P12" s="40">
        <v>7538000</v>
      </c>
      <c r="Q12" s="40">
        <v>2500000</v>
      </c>
      <c r="R12" s="40">
        <v>1734200</v>
      </c>
      <c r="S12" s="24">
        <f t="shared" si="11"/>
        <v>0.85963110604499304</v>
      </c>
      <c r="T12" s="24">
        <f t="shared" si="12"/>
        <v>5.0259765333430595</v>
      </c>
      <c r="U12" s="24">
        <f t="shared" si="13"/>
        <v>36.168262427588047</v>
      </c>
      <c r="V12" s="24">
        <f t="shared" si="14"/>
        <v>5.7155174612768995</v>
      </c>
      <c r="W12" s="24">
        <f t="shared" si="15"/>
        <v>3.9526042991423864</v>
      </c>
      <c r="X12" s="24">
        <f t="shared" si="16"/>
        <v>3.6933577674114799</v>
      </c>
      <c r="Y12" s="24">
        <f t="shared" si="17"/>
        <v>34.007722914394961</v>
      </c>
      <c r="Z12" s="24">
        <f t="shared" si="18"/>
        <v>3.5817962751874708</v>
      </c>
      <c r="AA12" s="24">
        <f t="shared" si="19"/>
        <v>3.6218814467497529</v>
      </c>
      <c r="AB12" s="24">
        <f t="shared" si="20"/>
        <v>2.1599664257890523</v>
      </c>
      <c r="AC12" s="24">
        <f t="shared" si="21"/>
        <v>0.7163592550374942</v>
      </c>
      <c r="AD12" s="24">
        <f t="shared" si="22"/>
        <v>0.49692408803440891</v>
      </c>
    </row>
    <row r="13" spans="1:30" x14ac:dyDescent="0.2">
      <c r="C13" s="39" t="s">
        <v>91</v>
      </c>
      <c r="D13" s="39" t="s">
        <v>78</v>
      </c>
      <c r="E13" s="40">
        <v>200761854</v>
      </c>
      <c r="F13" s="40">
        <v>200761854</v>
      </c>
      <c r="G13" s="41">
        <v>0</v>
      </c>
      <c r="H13" s="40">
        <v>9190000</v>
      </c>
      <c r="I13" s="40">
        <v>39765000</v>
      </c>
      <c r="J13" s="40">
        <v>24221515.890000001</v>
      </c>
      <c r="K13" s="40">
        <v>29040000</v>
      </c>
      <c r="L13" s="40">
        <v>28706209</v>
      </c>
      <c r="M13" s="40">
        <v>27409309.109999999</v>
      </c>
      <c r="N13" s="40">
        <v>20861820</v>
      </c>
      <c r="O13" s="40">
        <v>21568000</v>
      </c>
      <c r="P13" s="41">
        <v>0</v>
      </c>
      <c r="Q13" s="41">
        <v>0</v>
      </c>
      <c r="R13" s="41">
        <v>0</v>
      </c>
      <c r="S13" s="24">
        <f t="shared" si="11"/>
        <v>0</v>
      </c>
      <c r="T13" s="24">
        <f t="shared" si="12"/>
        <v>4.5775628272490456</v>
      </c>
      <c r="U13" s="24">
        <f t="shared" si="13"/>
        <v>19.807049600169563</v>
      </c>
      <c r="V13" s="24">
        <f t="shared" si="14"/>
        <v>12.064799864818941</v>
      </c>
      <c r="W13" s="24">
        <f t="shared" si="15"/>
        <v>14.464899293069887</v>
      </c>
      <c r="X13" s="24">
        <f t="shared" si="16"/>
        <v>14.298637130537756</v>
      </c>
      <c r="Y13" s="24">
        <f t="shared" si="17"/>
        <v>13.652647932808989</v>
      </c>
      <c r="Z13" s="24">
        <f t="shared" si="18"/>
        <v>10.391326631203555</v>
      </c>
      <c r="AA13" s="24">
        <f t="shared" si="19"/>
        <v>10.743076720142264</v>
      </c>
      <c r="AB13" s="24">
        <f t="shared" si="20"/>
        <v>0</v>
      </c>
      <c r="AC13" s="24">
        <f t="shared" si="21"/>
        <v>0</v>
      </c>
      <c r="AD13" s="24">
        <f t="shared" si="22"/>
        <v>0</v>
      </c>
    </row>
    <row r="14" spans="1:30" ht="24.75" customHeight="1" x14ac:dyDescent="0.2">
      <c r="C14" s="32" t="s">
        <v>92</v>
      </c>
      <c r="D14" s="36" t="s">
        <v>79</v>
      </c>
      <c r="E14" s="33">
        <v>36674651407</v>
      </c>
      <c r="F14" s="33">
        <v>36674651407</v>
      </c>
      <c r="G14" s="33">
        <v>2621931469</v>
      </c>
      <c r="H14" s="33">
        <v>2768874869</v>
      </c>
      <c r="I14" s="33">
        <v>5391381332</v>
      </c>
      <c r="J14" s="33">
        <v>2771874869</v>
      </c>
      <c r="K14" s="33">
        <v>2773874869</v>
      </c>
      <c r="L14" s="33">
        <v>5393381332</v>
      </c>
      <c r="M14" s="33">
        <v>2469707695</v>
      </c>
      <c r="N14" s="33">
        <v>2469707695</v>
      </c>
      <c r="O14" s="33">
        <v>2469339695</v>
      </c>
      <c r="P14" s="33">
        <v>2467707695</v>
      </c>
      <c r="Q14" s="33">
        <v>2465218095</v>
      </c>
      <c r="R14" s="33">
        <v>2611651792</v>
      </c>
      <c r="S14" s="24">
        <f t="shared" si="11"/>
        <v>7.1491653455758781</v>
      </c>
      <c r="T14" s="24">
        <f t="shared" si="12"/>
        <v>7.549832821237155</v>
      </c>
      <c r="U14" s="24">
        <f t="shared" si="13"/>
        <v>14.700565990849364</v>
      </c>
      <c r="V14" s="24">
        <f t="shared" si="14"/>
        <v>7.5580128580879684</v>
      </c>
      <c r="W14" s="24">
        <f t="shared" si="15"/>
        <v>7.5634662159885107</v>
      </c>
      <c r="X14" s="24">
        <f t="shared" si="16"/>
        <v>14.706019348749907</v>
      </c>
      <c r="Y14" s="24">
        <f t="shared" si="17"/>
        <v>6.73409998527924</v>
      </c>
      <c r="Z14" s="24">
        <f t="shared" si="18"/>
        <v>6.73409998527924</v>
      </c>
      <c r="AA14" s="24">
        <f t="shared" si="19"/>
        <v>6.733096567425541</v>
      </c>
      <c r="AB14" s="24">
        <f t="shared" si="20"/>
        <v>6.7286466273786978</v>
      </c>
      <c r="AC14" s="24">
        <f t="shared" si="21"/>
        <v>6.7218582874641042</v>
      </c>
      <c r="AD14" s="24">
        <f t="shared" si="22"/>
        <v>7.1211359666843919</v>
      </c>
    </row>
    <row r="15" spans="1:30" x14ac:dyDescent="0.2">
      <c r="C15" s="39" t="s">
        <v>93</v>
      </c>
      <c r="D15" s="39" t="s">
        <v>40</v>
      </c>
      <c r="E15" s="40">
        <v>34873188218</v>
      </c>
      <c r="F15" s="40">
        <v>34873188218</v>
      </c>
      <c r="G15" s="40">
        <v>2621931469</v>
      </c>
      <c r="H15" s="40">
        <v>2621931469</v>
      </c>
      <c r="I15" s="40">
        <v>5239437932</v>
      </c>
      <c r="J15" s="40">
        <v>2621931469</v>
      </c>
      <c r="K15" s="40">
        <v>2621931469</v>
      </c>
      <c r="L15" s="40">
        <v>5239437932</v>
      </c>
      <c r="M15" s="40">
        <v>2317764295</v>
      </c>
      <c r="N15" s="40">
        <v>2317764295</v>
      </c>
      <c r="O15" s="40">
        <v>2317764295</v>
      </c>
      <c r="P15" s="40">
        <v>2317764295</v>
      </c>
      <c r="Q15" s="40">
        <v>2317764295</v>
      </c>
      <c r="R15" s="40">
        <v>2317765003</v>
      </c>
      <c r="S15" s="24">
        <f t="shared" si="11"/>
        <v>7.5184736554906522</v>
      </c>
      <c r="T15" s="24">
        <f t="shared" si="12"/>
        <v>7.5184736554906522</v>
      </c>
      <c r="U15" s="24">
        <f t="shared" si="13"/>
        <v>15.024258462538947</v>
      </c>
      <c r="V15" s="24">
        <f t="shared" si="14"/>
        <v>7.5184736554906522</v>
      </c>
      <c r="W15" s="24">
        <f t="shared" si="15"/>
        <v>7.5184736554906522</v>
      </c>
      <c r="X15" s="24">
        <f t="shared" si="16"/>
        <v>15.024258462538947</v>
      </c>
      <c r="Y15" s="24">
        <f t="shared" si="17"/>
        <v>6.6462644037910827</v>
      </c>
      <c r="Z15" s="24">
        <f t="shared" si="18"/>
        <v>6.6462644037910827</v>
      </c>
      <c r="AA15" s="24">
        <f t="shared" si="19"/>
        <v>6.6462644037910827</v>
      </c>
      <c r="AB15" s="24">
        <f t="shared" si="20"/>
        <v>6.6462644037910827</v>
      </c>
      <c r="AC15" s="24">
        <f t="shared" si="21"/>
        <v>6.6462644037910827</v>
      </c>
      <c r="AD15" s="24">
        <f t="shared" si="22"/>
        <v>6.6462664340040805</v>
      </c>
    </row>
    <row r="16" spans="1:30" ht="16.5" x14ac:dyDescent="0.2">
      <c r="C16" s="42" t="s">
        <v>94</v>
      </c>
      <c r="D16" s="36" t="s">
        <v>41</v>
      </c>
      <c r="E16" s="43">
        <v>1763320789</v>
      </c>
      <c r="F16" s="43">
        <v>1763320789</v>
      </c>
      <c r="G16" s="44">
        <v>0</v>
      </c>
      <c r="H16" s="43">
        <v>146943400</v>
      </c>
      <c r="I16" s="43">
        <v>146943400</v>
      </c>
      <c r="J16" s="43">
        <v>146943400</v>
      </c>
      <c r="K16" s="43">
        <v>146943400</v>
      </c>
      <c r="L16" s="43">
        <v>146943400</v>
      </c>
      <c r="M16" s="43">
        <v>146943400</v>
      </c>
      <c r="N16" s="43">
        <v>146943400</v>
      </c>
      <c r="O16" s="43">
        <v>146943400</v>
      </c>
      <c r="P16" s="43">
        <v>146943400</v>
      </c>
      <c r="Q16" s="43">
        <v>146943400</v>
      </c>
      <c r="R16" s="43">
        <v>293886789</v>
      </c>
      <c r="S16" s="24">
        <f t="shared" si="11"/>
        <v>0</v>
      </c>
      <c r="T16" s="24">
        <f t="shared" si="12"/>
        <v>8.3333333853185803</v>
      </c>
      <c r="U16" s="24">
        <f t="shared" si="13"/>
        <v>8.3333333853185803</v>
      </c>
      <c r="V16" s="24">
        <f t="shared" si="14"/>
        <v>8.3333333853185803</v>
      </c>
      <c r="W16" s="24">
        <f t="shared" si="15"/>
        <v>8.3333333853185803</v>
      </c>
      <c r="X16" s="24">
        <f t="shared" si="16"/>
        <v>8.3333333853185803</v>
      </c>
      <c r="Y16" s="24">
        <f t="shared" si="17"/>
        <v>8.3333333853185803</v>
      </c>
      <c r="Z16" s="24">
        <f t="shared" si="18"/>
        <v>8.3333333853185803</v>
      </c>
      <c r="AA16" s="24">
        <f t="shared" si="19"/>
        <v>8.3333333853185803</v>
      </c>
      <c r="AB16" s="24">
        <f t="shared" si="20"/>
        <v>8.3333333853185803</v>
      </c>
      <c r="AC16" s="24">
        <f t="shared" si="21"/>
        <v>8.3333333853185803</v>
      </c>
      <c r="AD16" s="24">
        <f t="shared" si="22"/>
        <v>16.666666146814197</v>
      </c>
    </row>
    <row r="17" spans="3:30" x14ac:dyDescent="0.2">
      <c r="C17" s="57" t="s">
        <v>52</v>
      </c>
      <c r="D17" s="60" t="s">
        <v>53</v>
      </c>
      <c r="E17" s="63" t="s">
        <v>54</v>
      </c>
      <c r="F17" s="66" t="s">
        <v>55</v>
      </c>
      <c r="G17" s="69" t="s">
        <v>56</v>
      </c>
      <c r="H17" s="70"/>
      <c r="I17" s="70"/>
      <c r="J17" s="70"/>
      <c r="K17" s="70"/>
      <c r="L17" s="71"/>
      <c r="M17" s="69" t="s">
        <v>57</v>
      </c>
      <c r="N17" s="70"/>
      <c r="O17" s="70"/>
      <c r="P17" s="70"/>
      <c r="Q17" s="70"/>
      <c r="R17" s="71"/>
      <c r="S17" s="24" t="e">
        <f t="shared" si="11"/>
        <v>#VALUE!</v>
      </c>
      <c r="T17" s="24" t="e">
        <f t="shared" si="12"/>
        <v>#VALUE!</v>
      </c>
      <c r="U17" s="24" t="e">
        <f t="shared" si="13"/>
        <v>#VALUE!</v>
      </c>
      <c r="V17" s="24" t="e">
        <f t="shared" si="14"/>
        <v>#VALUE!</v>
      </c>
      <c r="W17" s="24" t="e">
        <f t="shared" si="15"/>
        <v>#VALUE!</v>
      </c>
      <c r="X17" s="24" t="e">
        <f t="shared" si="16"/>
        <v>#VALUE!</v>
      </c>
      <c r="Y17" s="24" t="e">
        <f t="shared" si="17"/>
        <v>#VALUE!</v>
      </c>
      <c r="Z17" s="24" t="e">
        <f t="shared" si="18"/>
        <v>#VALUE!</v>
      </c>
      <c r="AA17" s="24" t="e">
        <f t="shared" si="19"/>
        <v>#VALUE!</v>
      </c>
      <c r="AB17" s="24" t="e">
        <f t="shared" si="20"/>
        <v>#VALUE!</v>
      </c>
      <c r="AC17" s="24" t="e">
        <f t="shared" si="21"/>
        <v>#VALUE!</v>
      </c>
      <c r="AD17" s="24" t="e">
        <f t="shared" si="22"/>
        <v>#VALUE!</v>
      </c>
    </row>
    <row r="18" spans="3:30" x14ac:dyDescent="0.2">
      <c r="C18" s="58"/>
      <c r="D18" s="61"/>
      <c r="E18" s="64"/>
      <c r="F18" s="67"/>
      <c r="G18" s="69" t="s">
        <v>58</v>
      </c>
      <c r="H18" s="70"/>
      <c r="I18" s="71"/>
      <c r="J18" s="69" t="s">
        <v>59</v>
      </c>
      <c r="K18" s="70"/>
      <c r="L18" s="71"/>
      <c r="M18" s="69" t="s">
        <v>60</v>
      </c>
      <c r="N18" s="70"/>
      <c r="O18" s="71"/>
      <c r="P18" s="69" t="s">
        <v>61</v>
      </c>
      <c r="Q18" s="70"/>
      <c r="R18" s="71"/>
      <c r="S18" s="24" t="e">
        <f t="shared" si="11"/>
        <v>#VALUE!</v>
      </c>
      <c r="T18" s="24" t="e">
        <f t="shared" si="12"/>
        <v>#DIV/0!</v>
      </c>
      <c r="U18" s="24" t="e">
        <f t="shared" si="13"/>
        <v>#DIV/0!</v>
      </c>
      <c r="V18" s="24" t="e">
        <f t="shared" si="14"/>
        <v>#VALUE!</v>
      </c>
      <c r="W18" s="24" t="e">
        <f t="shared" si="15"/>
        <v>#DIV/0!</v>
      </c>
      <c r="X18" s="24" t="e">
        <f t="shared" si="16"/>
        <v>#DIV/0!</v>
      </c>
      <c r="Y18" s="24" t="e">
        <f t="shared" si="17"/>
        <v>#VALUE!</v>
      </c>
      <c r="Z18" s="24" t="e">
        <f t="shared" si="18"/>
        <v>#DIV/0!</v>
      </c>
      <c r="AA18" s="24" t="e">
        <f t="shared" si="19"/>
        <v>#DIV/0!</v>
      </c>
      <c r="AB18" s="24" t="e">
        <f t="shared" si="20"/>
        <v>#VALUE!</v>
      </c>
      <c r="AC18" s="24" t="e">
        <f t="shared" si="21"/>
        <v>#DIV/0!</v>
      </c>
      <c r="AD18" s="24" t="e">
        <f t="shared" si="22"/>
        <v>#DIV/0!</v>
      </c>
    </row>
    <row r="19" spans="3:30" x14ac:dyDescent="0.2">
      <c r="C19" s="59"/>
      <c r="D19" s="62"/>
      <c r="E19" s="65"/>
      <c r="F19" s="68"/>
      <c r="G19" s="28" t="s">
        <v>62</v>
      </c>
      <c r="H19" s="28" t="s">
        <v>63</v>
      </c>
      <c r="I19" s="29" t="s">
        <v>64</v>
      </c>
      <c r="J19" s="29" t="s">
        <v>65</v>
      </c>
      <c r="K19" s="29" t="s">
        <v>66</v>
      </c>
      <c r="L19" s="29" t="s">
        <v>67</v>
      </c>
      <c r="M19" s="29" t="s">
        <v>68</v>
      </c>
      <c r="N19" s="28" t="s">
        <v>69</v>
      </c>
      <c r="O19" s="28" t="s">
        <v>70</v>
      </c>
      <c r="P19" s="28" t="s">
        <v>71</v>
      </c>
      <c r="Q19" s="28" t="s">
        <v>72</v>
      </c>
      <c r="R19" s="28" t="s">
        <v>73</v>
      </c>
      <c r="S19" s="24" t="e">
        <f t="shared" si="11"/>
        <v>#VALUE!</v>
      </c>
      <c r="T19" s="24" t="e">
        <f t="shared" si="12"/>
        <v>#VALUE!</v>
      </c>
      <c r="U19" s="24" t="e">
        <f t="shared" si="13"/>
        <v>#VALUE!</v>
      </c>
      <c r="V19" s="24" t="e">
        <f t="shared" si="14"/>
        <v>#VALUE!</v>
      </c>
      <c r="W19" s="24" t="e">
        <f t="shared" si="15"/>
        <v>#VALUE!</v>
      </c>
      <c r="X19" s="24" t="e">
        <f t="shared" si="16"/>
        <v>#VALUE!</v>
      </c>
      <c r="Y19" s="24" t="e">
        <f t="shared" si="17"/>
        <v>#VALUE!</v>
      </c>
      <c r="Z19" s="24" t="e">
        <f t="shared" si="18"/>
        <v>#VALUE!</v>
      </c>
      <c r="AA19" s="24" t="e">
        <f t="shared" si="19"/>
        <v>#VALUE!</v>
      </c>
      <c r="AB19" s="24" t="e">
        <f t="shared" si="20"/>
        <v>#VALUE!</v>
      </c>
      <c r="AC19" s="24" t="e">
        <f t="shared" si="21"/>
        <v>#VALUE!</v>
      </c>
      <c r="AD19" s="24" t="e">
        <f t="shared" si="22"/>
        <v>#VALUE!</v>
      </c>
    </row>
    <row r="20" spans="3:30" ht="24.75" x14ac:dyDescent="0.2">
      <c r="C20" s="42" t="s">
        <v>95</v>
      </c>
      <c r="D20" s="39" t="s">
        <v>96</v>
      </c>
      <c r="E20" s="43">
        <v>38142400</v>
      </c>
      <c r="F20" s="43">
        <v>38142400</v>
      </c>
      <c r="G20" s="44">
        <v>0</v>
      </c>
      <c r="H20" s="44">
        <v>0</v>
      </c>
      <c r="I20" s="43">
        <v>5000000</v>
      </c>
      <c r="J20" s="43">
        <v>3000000</v>
      </c>
      <c r="K20" s="43">
        <v>5000000</v>
      </c>
      <c r="L20" s="43">
        <v>7000000</v>
      </c>
      <c r="M20" s="43">
        <v>5000000</v>
      </c>
      <c r="N20" s="43">
        <v>5000000</v>
      </c>
      <c r="O20" s="43">
        <v>4632000</v>
      </c>
      <c r="P20" s="43">
        <v>3000000</v>
      </c>
      <c r="Q20" s="43">
        <v>510400</v>
      </c>
      <c r="R20" s="44">
        <v>0</v>
      </c>
      <c r="S20" s="24">
        <f t="shared" si="11"/>
        <v>0</v>
      </c>
      <c r="T20" s="24">
        <f t="shared" si="12"/>
        <v>0</v>
      </c>
      <c r="U20" s="24">
        <f t="shared" si="13"/>
        <v>13.108771341079745</v>
      </c>
      <c r="V20" s="24">
        <f t="shared" si="14"/>
        <v>7.8652628046478466</v>
      </c>
      <c r="W20" s="24">
        <f t="shared" si="15"/>
        <v>13.108771341079745</v>
      </c>
      <c r="X20" s="24">
        <f t="shared" si="16"/>
        <v>18.352279877511641</v>
      </c>
      <c r="Y20" s="24">
        <f t="shared" si="17"/>
        <v>13.108771341079745</v>
      </c>
      <c r="Z20" s="24">
        <f t="shared" si="18"/>
        <v>13.108771341079745</v>
      </c>
      <c r="AA20" s="24">
        <f t="shared" si="19"/>
        <v>12.143965770376273</v>
      </c>
      <c r="AB20" s="24">
        <f t="shared" si="20"/>
        <v>7.8652628046478466</v>
      </c>
      <c r="AC20" s="24">
        <f t="shared" si="21"/>
        <v>1.3381433784974202</v>
      </c>
      <c r="AD20" s="24">
        <f t="shared" si="22"/>
        <v>0</v>
      </c>
    </row>
    <row r="21" spans="3:30" ht="24.75" x14ac:dyDescent="0.2">
      <c r="C21" s="37" t="s">
        <v>97</v>
      </c>
      <c r="D21" s="36" t="s">
        <v>98</v>
      </c>
      <c r="E21" s="38">
        <v>88444800</v>
      </c>
      <c r="F21" s="38">
        <v>88444800</v>
      </c>
      <c r="G21" s="45">
        <v>0</v>
      </c>
      <c r="H21" s="38">
        <v>7500000</v>
      </c>
      <c r="I21" s="38">
        <v>21212000</v>
      </c>
      <c r="J21" s="38">
        <v>16500000</v>
      </c>
      <c r="K21" s="38">
        <v>12500000</v>
      </c>
      <c r="L21" s="38">
        <v>12000000</v>
      </c>
      <c r="M21" s="38">
        <v>12500000</v>
      </c>
      <c r="N21" s="38">
        <v>3812200</v>
      </c>
      <c r="O21" s="38">
        <v>2420600</v>
      </c>
      <c r="P21" s="45">
        <v>0</v>
      </c>
      <c r="Q21" s="45">
        <v>0</v>
      </c>
      <c r="R21" s="45">
        <v>0</v>
      </c>
      <c r="S21" s="24">
        <f t="shared" si="11"/>
        <v>0</v>
      </c>
      <c r="T21" s="24">
        <f t="shared" si="12"/>
        <v>8.4798654075762503</v>
      </c>
      <c r="U21" s="24">
        <f t="shared" si="13"/>
        <v>23.983320670067659</v>
      </c>
      <c r="V21" s="24">
        <f t="shared" si="14"/>
        <v>18.655703896667752</v>
      </c>
      <c r="W21" s="24">
        <f t="shared" si="15"/>
        <v>14.133109012627084</v>
      </c>
      <c r="X21" s="24">
        <f t="shared" si="16"/>
        <v>13.567784652122</v>
      </c>
      <c r="Y21" s="24">
        <f t="shared" si="17"/>
        <v>14.133109012627084</v>
      </c>
      <c r="Z21" s="24">
        <f t="shared" si="18"/>
        <v>4.3102590542349581</v>
      </c>
      <c r="AA21" s="24">
        <f t="shared" si="19"/>
        <v>2.7368482940772099</v>
      </c>
      <c r="AB21" s="24">
        <f t="shared" si="20"/>
        <v>0</v>
      </c>
      <c r="AC21" s="24">
        <f t="shared" si="21"/>
        <v>0</v>
      </c>
      <c r="AD21" s="24">
        <f t="shared" si="22"/>
        <v>0</v>
      </c>
    </row>
    <row r="22" spans="3:30" ht="16.5" x14ac:dyDescent="0.2">
      <c r="C22" s="39" t="s">
        <v>99</v>
      </c>
      <c r="D22" s="39" t="s">
        <v>100</v>
      </c>
      <c r="E22" s="40">
        <v>88444800</v>
      </c>
      <c r="F22" s="40">
        <v>88444800</v>
      </c>
      <c r="G22" s="41">
        <v>0</v>
      </c>
      <c r="H22" s="40">
        <v>7500000</v>
      </c>
      <c r="I22" s="40">
        <v>21212000</v>
      </c>
      <c r="J22" s="40">
        <v>16500000</v>
      </c>
      <c r="K22" s="40">
        <v>12500000</v>
      </c>
      <c r="L22" s="40">
        <v>12000000</v>
      </c>
      <c r="M22" s="40">
        <v>12500000</v>
      </c>
      <c r="N22" s="40">
        <v>3812200</v>
      </c>
      <c r="O22" s="40">
        <v>2420600</v>
      </c>
      <c r="P22" s="41">
        <v>0</v>
      </c>
      <c r="Q22" s="41">
        <v>0</v>
      </c>
      <c r="R22" s="41">
        <v>0</v>
      </c>
      <c r="S22" s="24">
        <f t="shared" si="11"/>
        <v>0</v>
      </c>
      <c r="T22" s="24">
        <f t="shared" si="12"/>
        <v>8.4798654075762503</v>
      </c>
      <c r="U22" s="24">
        <f t="shared" si="13"/>
        <v>23.983320670067659</v>
      </c>
      <c r="V22" s="24">
        <f t="shared" si="14"/>
        <v>18.655703896667752</v>
      </c>
      <c r="W22" s="24">
        <f t="shared" si="15"/>
        <v>14.133109012627084</v>
      </c>
      <c r="X22" s="24">
        <f t="shared" si="16"/>
        <v>13.567784652122</v>
      </c>
      <c r="Y22" s="24">
        <f t="shared" si="17"/>
        <v>14.133109012627084</v>
      </c>
      <c r="Z22" s="24">
        <f t="shared" si="18"/>
        <v>4.3102590542349581</v>
      </c>
      <c r="AA22" s="24">
        <f t="shared" si="19"/>
        <v>2.7368482940772099</v>
      </c>
      <c r="AB22" s="24">
        <f t="shared" si="20"/>
        <v>0</v>
      </c>
      <c r="AC22" s="24">
        <f t="shared" si="21"/>
        <v>0</v>
      </c>
      <c r="AD22" s="24">
        <f t="shared" si="22"/>
        <v>0</v>
      </c>
    </row>
    <row r="23" spans="3:30" ht="24.75" x14ac:dyDescent="0.2">
      <c r="C23" s="32" t="s">
        <v>101</v>
      </c>
      <c r="D23" s="36" t="s">
        <v>102</v>
      </c>
      <c r="E23" s="33">
        <v>146000000</v>
      </c>
      <c r="F23" s="33">
        <v>146000000</v>
      </c>
      <c r="G23" s="46">
        <v>0</v>
      </c>
      <c r="H23" s="33">
        <v>17000000</v>
      </c>
      <c r="I23" s="33">
        <v>17000000</v>
      </c>
      <c r="J23" s="33">
        <v>17000000</v>
      </c>
      <c r="K23" s="33">
        <v>17000000</v>
      </c>
      <c r="L23" s="33">
        <v>17000000</v>
      </c>
      <c r="M23" s="33">
        <v>17000000</v>
      </c>
      <c r="N23" s="33">
        <v>15328000</v>
      </c>
      <c r="O23" s="33">
        <v>10000000</v>
      </c>
      <c r="P23" s="33">
        <v>10000000</v>
      </c>
      <c r="Q23" s="33">
        <v>8672000</v>
      </c>
      <c r="R23" s="46">
        <v>0</v>
      </c>
      <c r="S23" s="24">
        <f t="shared" si="11"/>
        <v>0</v>
      </c>
      <c r="T23" s="24">
        <f t="shared" si="12"/>
        <v>11.643835616438356</v>
      </c>
      <c r="U23" s="24">
        <f t="shared" si="13"/>
        <v>11.643835616438356</v>
      </c>
      <c r="V23" s="24">
        <f t="shared" si="14"/>
        <v>11.643835616438356</v>
      </c>
      <c r="W23" s="24">
        <f t="shared" si="15"/>
        <v>11.643835616438356</v>
      </c>
      <c r="X23" s="24">
        <f t="shared" si="16"/>
        <v>11.643835616438356</v>
      </c>
      <c r="Y23" s="24">
        <f t="shared" si="17"/>
        <v>11.643835616438356</v>
      </c>
      <c r="Z23" s="24">
        <f t="shared" si="18"/>
        <v>10.498630136986302</v>
      </c>
      <c r="AA23" s="24">
        <f t="shared" si="19"/>
        <v>6.8493150684931505</v>
      </c>
      <c r="AB23" s="24">
        <f t="shared" si="20"/>
        <v>6.8493150684931505</v>
      </c>
      <c r="AC23" s="24">
        <f t="shared" si="21"/>
        <v>5.9397260273972599</v>
      </c>
      <c r="AD23" s="24">
        <f t="shared" si="22"/>
        <v>0</v>
      </c>
    </row>
    <row r="24" spans="3:30" ht="16.5" x14ac:dyDescent="0.2">
      <c r="C24" s="42" t="s">
        <v>103</v>
      </c>
      <c r="D24" s="36" t="s">
        <v>104</v>
      </c>
      <c r="E24" s="43">
        <v>146000000</v>
      </c>
      <c r="F24" s="43">
        <v>146000000</v>
      </c>
      <c r="G24" s="44">
        <v>0</v>
      </c>
      <c r="H24" s="43">
        <v>17000000</v>
      </c>
      <c r="I24" s="43">
        <v>17000000</v>
      </c>
      <c r="J24" s="43">
        <v>17000000</v>
      </c>
      <c r="K24" s="43">
        <v>17000000</v>
      </c>
      <c r="L24" s="43">
        <v>17000000</v>
      </c>
      <c r="M24" s="43">
        <v>17000000</v>
      </c>
      <c r="N24" s="43">
        <v>15328000</v>
      </c>
      <c r="O24" s="43">
        <v>10000000</v>
      </c>
      <c r="P24" s="43">
        <v>10000000</v>
      </c>
      <c r="Q24" s="43">
        <v>8672000</v>
      </c>
      <c r="R24" s="44">
        <v>0</v>
      </c>
      <c r="S24" s="24">
        <f t="shared" si="11"/>
        <v>0</v>
      </c>
      <c r="T24" s="24">
        <f t="shared" si="12"/>
        <v>11.643835616438356</v>
      </c>
      <c r="U24" s="24">
        <f t="shared" si="13"/>
        <v>11.643835616438356</v>
      </c>
      <c r="V24" s="24">
        <f t="shared" si="14"/>
        <v>11.643835616438356</v>
      </c>
      <c r="W24" s="24">
        <f t="shared" si="15"/>
        <v>11.643835616438356</v>
      </c>
      <c r="X24" s="24">
        <f t="shared" si="16"/>
        <v>11.643835616438356</v>
      </c>
      <c r="Y24" s="24">
        <f t="shared" si="17"/>
        <v>11.643835616438356</v>
      </c>
      <c r="Z24" s="24">
        <f t="shared" si="18"/>
        <v>10.498630136986302</v>
      </c>
      <c r="AA24" s="24">
        <f t="shared" si="19"/>
        <v>6.8493150684931505</v>
      </c>
      <c r="AB24" s="24">
        <f t="shared" si="20"/>
        <v>6.8493150684931505</v>
      </c>
      <c r="AC24" s="24">
        <f t="shared" si="21"/>
        <v>5.9397260273972599</v>
      </c>
      <c r="AD24" s="24">
        <f t="shared" si="22"/>
        <v>0</v>
      </c>
    </row>
    <row r="25" spans="3:30" ht="16.5" x14ac:dyDescent="0.2">
      <c r="C25" s="32" t="s">
        <v>105</v>
      </c>
      <c r="D25" s="32" t="s">
        <v>42</v>
      </c>
      <c r="E25" s="33">
        <v>1558317762.2</v>
      </c>
      <c r="F25" s="33">
        <v>1558317762.2</v>
      </c>
      <c r="G25" s="33">
        <v>13000000</v>
      </c>
      <c r="H25" s="33">
        <v>126550000</v>
      </c>
      <c r="I25" s="33">
        <v>174050000</v>
      </c>
      <c r="J25" s="33">
        <v>164875000</v>
      </c>
      <c r="K25" s="33">
        <v>144300000</v>
      </c>
      <c r="L25" s="33">
        <v>151554000</v>
      </c>
      <c r="M25" s="33">
        <v>158722440</v>
      </c>
      <c r="N25" s="33">
        <v>150811934.19999999</v>
      </c>
      <c r="O25" s="33">
        <v>142219530</v>
      </c>
      <c r="P25" s="33">
        <v>128362188</v>
      </c>
      <c r="Q25" s="33">
        <v>107867670</v>
      </c>
      <c r="R25" s="33">
        <v>96005000</v>
      </c>
      <c r="S25" s="24">
        <f t="shared" si="11"/>
        <v>0.83423293472872151</v>
      </c>
      <c r="T25" s="24">
        <f t="shared" si="12"/>
        <v>8.1209367607630547</v>
      </c>
      <c r="U25" s="24">
        <f t="shared" si="13"/>
        <v>11.169095560733384</v>
      </c>
      <c r="V25" s="24">
        <f t="shared" si="14"/>
        <v>10.580319624107535</v>
      </c>
      <c r="W25" s="24">
        <f t="shared" si="15"/>
        <v>9.259985575488809</v>
      </c>
      <c r="X25" s="24">
        <f t="shared" si="16"/>
        <v>9.7254875530674347</v>
      </c>
      <c r="Y25" s="24">
        <f t="shared" si="17"/>
        <v>10.185498994500263</v>
      </c>
      <c r="Z25" s="24">
        <f t="shared" si="18"/>
        <v>9.6778678815216033</v>
      </c>
      <c r="AA25" s="24">
        <f t="shared" si="19"/>
        <v>9.1264781452030341</v>
      </c>
      <c r="AB25" s="24">
        <f t="shared" si="20"/>
        <v>8.2372280618030675</v>
      </c>
      <c r="AC25" s="24">
        <f t="shared" si="21"/>
        <v>6.922058685111482</v>
      </c>
      <c r="AD25" s="24">
        <f t="shared" si="22"/>
        <v>6.1608102229716089</v>
      </c>
    </row>
    <row r="26" spans="3:30" ht="16.5" x14ac:dyDescent="0.2">
      <c r="C26" s="39" t="s">
        <v>106</v>
      </c>
      <c r="D26" s="36" t="s">
        <v>43</v>
      </c>
      <c r="E26" s="40">
        <v>19544500</v>
      </c>
      <c r="F26" s="40">
        <v>19544500</v>
      </c>
      <c r="G26" s="41">
        <v>0</v>
      </c>
      <c r="H26" s="40">
        <v>2000000</v>
      </c>
      <c r="I26" s="40">
        <v>4000000</v>
      </c>
      <c r="J26" s="40">
        <v>3000000</v>
      </c>
      <c r="K26" s="40">
        <v>3000000</v>
      </c>
      <c r="L26" s="40">
        <v>1000000</v>
      </c>
      <c r="M26" s="40">
        <v>2000000</v>
      </c>
      <c r="N26" s="40">
        <v>2000000</v>
      </c>
      <c r="O26" s="40">
        <v>2544500</v>
      </c>
      <c r="P26" s="41">
        <v>0</v>
      </c>
      <c r="Q26" s="41">
        <v>0</v>
      </c>
      <c r="R26" s="41">
        <v>0</v>
      </c>
      <c r="S26" s="24">
        <f t="shared" si="11"/>
        <v>0</v>
      </c>
      <c r="T26" s="24">
        <f t="shared" si="12"/>
        <v>10.233057893525032</v>
      </c>
      <c r="U26" s="24">
        <f t="shared" si="13"/>
        <v>20.466115787050065</v>
      </c>
      <c r="V26" s="24">
        <f t="shared" si="14"/>
        <v>15.349586840287548</v>
      </c>
      <c r="W26" s="24">
        <f t="shared" si="15"/>
        <v>15.349586840287548</v>
      </c>
      <c r="X26" s="24">
        <f t="shared" si="16"/>
        <v>5.1165289467625161</v>
      </c>
      <c r="Y26" s="24">
        <f t="shared" si="17"/>
        <v>10.233057893525032</v>
      </c>
      <c r="Z26" s="24">
        <f t="shared" si="18"/>
        <v>10.233057893525032</v>
      </c>
      <c r="AA26" s="24">
        <f t="shared" si="19"/>
        <v>13.019007905037222</v>
      </c>
      <c r="AB26" s="24">
        <f t="shared" si="20"/>
        <v>0</v>
      </c>
      <c r="AC26" s="24">
        <f t="shared" si="21"/>
        <v>0</v>
      </c>
      <c r="AD26" s="24">
        <f t="shared" si="22"/>
        <v>0</v>
      </c>
    </row>
    <row r="27" spans="3:30" x14ac:dyDescent="0.2">
      <c r="C27" s="39" t="s">
        <v>107</v>
      </c>
      <c r="D27" s="39" t="s">
        <v>44</v>
      </c>
      <c r="E27" s="40">
        <v>83111934.200000003</v>
      </c>
      <c r="F27" s="40">
        <v>83111934.200000003</v>
      </c>
      <c r="G27" s="41">
        <v>0</v>
      </c>
      <c r="H27" s="40">
        <v>15000000</v>
      </c>
      <c r="I27" s="40">
        <v>15500000</v>
      </c>
      <c r="J27" s="40">
        <v>15500000</v>
      </c>
      <c r="K27" s="40">
        <v>5500000</v>
      </c>
      <c r="L27" s="40">
        <v>5500000</v>
      </c>
      <c r="M27" s="40">
        <v>15500000</v>
      </c>
      <c r="N27" s="40">
        <v>10611934.199999999</v>
      </c>
      <c r="O27" s="41">
        <v>0</v>
      </c>
      <c r="P27" s="41">
        <v>0</v>
      </c>
      <c r="Q27" s="41">
        <v>0</v>
      </c>
      <c r="R27" s="41">
        <v>0</v>
      </c>
      <c r="S27" s="24">
        <f t="shared" si="11"/>
        <v>0</v>
      </c>
      <c r="T27" s="24">
        <f t="shared" si="12"/>
        <v>18.047949604811386</v>
      </c>
      <c r="U27" s="24">
        <f t="shared" si="13"/>
        <v>18.649547924971767</v>
      </c>
      <c r="V27" s="24">
        <f t="shared" si="14"/>
        <v>18.649547924971767</v>
      </c>
      <c r="W27" s="24">
        <f t="shared" si="15"/>
        <v>6.6175815217641754</v>
      </c>
      <c r="X27" s="24">
        <f t="shared" si="16"/>
        <v>6.6175815217641754</v>
      </c>
      <c r="Y27" s="24">
        <f t="shared" si="17"/>
        <v>18.649547924971767</v>
      </c>
      <c r="Z27" s="24">
        <f t="shared" si="18"/>
        <v>12.768243576744961</v>
      </c>
      <c r="AA27" s="24">
        <f t="shared" si="19"/>
        <v>0</v>
      </c>
      <c r="AB27" s="24">
        <f t="shared" si="20"/>
        <v>0</v>
      </c>
      <c r="AC27" s="24">
        <f t="shared" si="21"/>
        <v>0</v>
      </c>
      <c r="AD27" s="24">
        <f t="shared" si="22"/>
        <v>0</v>
      </c>
    </row>
    <row r="28" spans="3:30" ht="16.5" x14ac:dyDescent="0.2">
      <c r="C28" s="39" t="s">
        <v>108</v>
      </c>
      <c r="D28" s="39" t="s">
        <v>109</v>
      </c>
      <c r="E28" s="40">
        <v>44969000</v>
      </c>
      <c r="F28" s="40">
        <v>44969000</v>
      </c>
      <c r="G28" s="41">
        <v>0</v>
      </c>
      <c r="H28" s="40">
        <v>5000000</v>
      </c>
      <c r="I28" s="40">
        <v>7000000</v>
      </c>
      <c r="J28" s="40">
        <v>5175000</v>
      </c>
      <c r="K28" s="40">
        <v>5000000</v>
      </c>
      <c r="L28" s="40">
        <v>5500000</v>
      </c>
      <c r="M28" s="40">
        <v>6500000</v>
      </c>
      <c r="N28" s="40">
        <v>5000000</v>
      </c>
      <c r="O28" s="40">
        <v>5000000</v>
      </c>
      <c r="P28" s="40">
        <v>794000</v>
      </c>
      <c r="Q28" s="41">
        <v>0</v>
      </c>
      <c r="R28" s="41">
        <v>0</v>
      </c>
      <c r="S28" s="24">
        <f t="shared" si="11"/>
        <v>0</v>
      </c>
      <c r="T28" s="24">
        <f t="shared" si="12"/>
        <v>11.118770708710445</v>
      </c>
      <c r="U28" s="24">
        <f t="shared" si="13"/>
        <v>15.566278992194624</v>
      </c>
      <c r="V28" s="24">
        <f t="shared" si="14"/>
        <v>11.507927683515311</v>
      </c>
      <c r="W28" s="24">
        <f t="shared" si="15"/>
        <v>11.118770708710445</v>
      </c>
      <c r="X28" s="24">
        <f t="shared" si="16"/>
        <v>12.23064777958149</v>
      </c>
      <c r="Y28" s="24">
        <f t="shared" si="17"/>
        <v>14.454401921323578</v>
      </c>
      <c r="Z28" s="24">
        <f t="shared" si="18"/>
        <v>11.118770708710445</v>
      </c>
      <c r="AA28" s="24">
        <f t="shared" si="19"/>
        <v>11.118770708710445</v>
      </c>
      <c r="AB28" s="24">
        <f t="shared" si="20"/>
        <v>1.7656607885432187</v>
      </c>
      <c r="AC28" s="24">
        <f t="shared" si="21"/>
        <v>0</v>
      </c>
      <c r="AD28" s="24">
        <f t="shared" si="22"/>
        <v>0</v>
      </c>
    </row>
    <row r="29" spans="3:30" ht="16.5" x14ac:dyDescent="0.2">
      <c r="C29" s="39" t="s">
        <v>110</v>
      </c>
      <c r="D29" s="36" t="s">
        <v>111</v>
      </c>
      <c r="E29" s="40">
        <v>40000000</v>
      </c>
      <c r="F29" s="40">
        <v>40000000</v>
      </c>
      <c r="G29" s="41">
        <v>0</v>
      </c>
      <c r="H29" s="40">
        <v>4000000</v>
      </c>
      <c r="I29" s="40">
        <v>4000000</v>
      </c>
      <c r="J29" s="40">
        <v>4000000</v>
      </c>
      <c r="K29" s="40">
        <v>4000000</v>
      </c>
      <c r="L29" s="40">
        <v>4000000</v>
      </c>
      <c r="M29" s="40">
        <v>4000000</v>
      </c>
      <c r="N29" s="40">
        <v>4000000</v>
      </c>
      <c r="O29" s="40">
        <v>4000000</v>
      </c>
      <c r="P29" s="40">
        <v>4000000</v>
      </c>
      <c r="Q29" s="40">
        <v>4000000</v>
      </c>
      <c r="R29" s="41">
        <v>0</v>
      </c>
      <c r="S29" s="24">
        <f t="shared" si="11"/>
        <v>0</v>
      </c>
      <c r="T29" s="24">
        <f t="shared" si="12"/>
        <v>10</v>
      </c>
      <c r="U29" s="24">
        <f t="shared" si="13"/>
        <v>10</v>
      </c>
      <c r="V29" s="24">
        <f t="shared" si="14"/>
        <v>10</v>
      </c>
      <c r="W29" s="24">
        <f t="shared" si="15"/>
        <v>10</v>
      </c>
      <c r="X29" s="24">
        <f t="shared" si="16"/>
        <v>10</v>
      </c>
      <c r="Y29" s="24">
        <f t="shared" si="17"/>
        <v>10</v>
      </c>
      <c r="Z29" s="24">
        <f t="shared" si="18"/>
        <v>10</v>
      </c>
      <c r="AA29" s="24">
        <f t="shared" si="19"/>
        <v>10</v>
      </c>
      <c r="AB29" s="24">
        <f t="shared" si="20"/>
        <v>10</v>
      </c>
      <c r="AC29" s="24">
        <f t="shared" si="21"/>
        <v>10</v>
      </c>
      <c r="AD29" s="24">
        <f t="shared" si="22"/>
        <v>0</v>
      </c>
    </row>
    <row r="30" spans="3:30" ht="16.5" x14ac:dyDescent="0.2">
      <c r="C30" s="42" t="s">
        <v>112</v>
      </c>
      <c r="D30" s="36" t="s">
        <v>113</v>
      </c>
      <c r="E30" s="43">
        <v>1157870438</v>
      </c>
      <c r="F30" s="43">
        <v>1157870438</v>
      </c>
      <c r="G30" s="44">
        <v>0</v>
      </c>
      <c r="H30" s="43">
        <v>87000000</v>
      </c>
      <c r="I30" s="43">
        <v>112000000</v>
      </c>
      <c r="J30" s="43">
        <v>117000000</v>
      </c>
      <c r="K30" s="43">
        <v>107000000</v>
      </c>
      <c r="L30" s="43">
        <v>117000000</v>
      </c>
      <c r="M30" s="43">
        <v>112000000</v>
      </c>
      <c r="N30" s="43">
        <v>112000000</v>
      </c>
      <c r="O30" s="43">
        <v>112000000</v>
      </c>
      <c r="P30" s="43">
        <v>108193438</v>
      </c>
      <c r="Q30" s="43">
        <v>90672000</v>
      </c>
      <c r="R30" s="43">
        <v>83005000</v>
      </c>
      <c r="S30" s="24">
        <f t="shared" si="11"/>
        <v>0</v>
      </c>
      <c r="T30" s="24">
        <f t="shared" si="12"/>
        <v>7.5137940433366524</v>
      </c>
      <c r="U30" s="24">
        <f t="shared" si="13"/>
        <v>9.6729302626862648</v>
      </c>
      <c r="V30" s="24">
        <f t="shared" si="14"/>
        <v>10.104757506556187</v>
      </c>
      <c r="W30" s="24">
        <f t="shared" si="15"/>
        <v>9.2411030188163412</v>
      </c>
      <c r="X30" s="24">
        <f t="shared" si="16"/>
        <v>10.104757506556187</v>
      </c>
      <c r="Y30" s="24">
        <f t="shared" si="17"/>
        <v>9.6729302626862648</v>
      </c>
      <c r="Z30" s="24">
        <f t="shared" si="18"/>
        <v>9.6729302626862648</v>
      </c>
      <c r="AA30" s="24">
        <f t="shared" si="19"/>
        <v>9.6729302626862648</v>
      </c>
      <c r="AB30" s="24">
        <f t="shared" si="20"/>
        <v>9.3441748272702689</v>
      </c>
      <c r="AC30" s="24">
        <f t="shared" si="21"/>
        <v>7.8309279712347228</v>
      </c>
      <c r="AD30" s="24">
        <f t="shared" si="22"/>
        <v>7.1687640754845834</v>
      </c>
    </row>
    <row r="31" spans="3:30" ht="16.5" x14ac:dyDescent="0.2">
      <c r="C31" s="39" t="s">
        <v>114</v>
      </c>
      <c r="D31" s="36" t="s">
        <v>115</v>
      </c>
      <c r="E31" s="40">
        <v>25000000</v>
      </c>
      <c r="F31" s="40">
        <v>25000000</v>
      </c>
      <c r="G31" s="41">
        <v>0</v>
      </c>
      <c r="H31" s="41">
        <v>0</v>
      </c>
      <c r="I31" s="40">
        <v>3000000</v>
      </c>
      <c r="J31" s="40">
        <v>4000000</v>
      </c>
      <c r="K31" s="40">
        <v>4000000</v>
      </c>
      <c r="L31" s="40">
        <v>2000000</v>
      </c>
      <c r="M31" s="40">
        <v>3000000</v>
      </c>
      <c r="N31" s="40">
        <v>3000000</v>
      </c>
      <c r="O31" s="40">
        <v>4125250</v>
      </c>
      <c r="P31" s="40">
        <v>1874750</v>
      </c>
      <c r="Q31" s="41">
        <v>0</v>
      </c>
      <c r="R31" s="41">
        <v>0</v>
      </c>
      <c r="S31" s="24">
        <f t="shared" si="11"/>
        <v>0</v>
      </c>
      <c r="T31" s="24">
        <f t="shared" si="12"/>
        <v>0</v>
      </c>
      <c r="U31" s="24">
        <f t="shared" si="13"/>
        <v>12</v>
      </c>
      <c r="V31" s="24">
        <f t="shared" si="14"/>
        <v>16</v>
      </c>
      <c r="W31" s="24">
        <f t="shared" si="15"/>
        <v>16</v>
      </c>
      <c r="X31" s="24">
        <f t="shared" si="16"/>
        <v>8</v>
      </c>
      <c r="Y31" s="24">
        <f t="shared" si="17"/>
        <v>12</v>
      </c>
      <c r="Z31" s="24">
        <f t="shared" si="18"/>
        <v>12</v>
      </c>
      <c r="AA31" s="24">
        <f t="shared" si="19"/>
        <v>16.500999999999998</v>
      </c>
      <c r="AB31" s="24">
        <f t="shared" si="20"/>
        <v>7.4990000000000006</v>
      </c>
      <c r="AC31" s="24">
        <f t="shared" si="21"/>
        <v>0</v>
      </c>
      <c r="AD31" s="24">
        <f t="shared" si="22"/>
        <v>0</v>
      </c>
    </row>
    <row r="32" spans="3:30" ht="24.75" x14ac:dyDescent="0.2">
      <c r="C32" s="39" t="s">
        <v>116</v>
      </c>
      <c r="D32" s="36" t="s">
        <v>117</v>
      </c>
      <c r="E32" s="40">
        <v>187821890</v>
      </c>
      <c r="F32" s="40">
        <v>187821890</v>
      </c>
      <c r="G32" s="40">
        <v>13000000</v>
      </c>
      <c r="H32" s="40">
        <v>13550000</v>
      </c>
      <c r="I32" s="40">
        <v>28550000</v>
      </c>
      <c r="J32" s="40">
        <v>16200000</v>
      </c>
      <c r="K32" s="40">
        <v>15800000</v>
      </c>
      <c r="L32" s="40">
        <v>16554000</v>
      </c>
      <c r="M32" s="40">
        <v>15722440</v>
      </c>
      <c r="N32" s="40">
        <v>14200000</v>
      </c>
      <c r="O32" s="40">
        <v>14549780</v>
      </c>
      <c r="P32" s="40">
        <v>13500000</v>
      </c>
      <c r="Q32" s="40">
        <v>13195670</v>
      </c>
      <c r="R32" s="40">
        <v>13000000</v>
      </c>
      <c r="S32" s="24">
        <f t="shared" si="11"/>
        <v>6.9214509554770212</v>
      </c>
      <c r="T32" s="24">
        <f t="shared" si="12"/>
        <v>7.2142815728241256</v>
      </c>
      <c r="U32" s="24">
        <f t="shared" si="13"/>
        <v>15.200571136836075</v>
      </c>
      <c r="V32" s="24">
        <f t="shared" si="14"/>
        <v>8.6251927291329036</v>
      </c>
      <c r="W32" s="24">
        <f t="shared" si="15"/>
        <v>8.4122250074259171</v>
      </c>
      <c r="X32" s="24">
        <f t="shared" si="16"/>
        <v>8.8136691628435848</v>
      </c>
      <c r="Y32" s="24">
        <f t="shared" si="17"/>
        <v>8.3709305661869333</v>
      </c>
      <c r="Z32" s="24">
        <f t="shared" si="18"/>
        <v>7.5603541205979772</v>
      </c>
      <c r="AA32" s="24">
        <f t="shared" si="19"/>
        <v>7.7465837448446502</v>
      </c>
      <c r="AB32" s="24">
        <f t="shared" si="20"/>
        <v>7.187660607610753</v>
      </c>
      <c r="AC32" s="24">
        <f t="shared" si="21"/>
        <v>7.0256294407430362</v>
      </c>
      <c r="AD32" s="24">
        <f t="shared" si="22"/>
        <v>6.9214509554770212</v>
      </c>
    </row>
    <row r="33" spans="3:30" ht="24.75" x14ac:dyDescent="0.2">
      <c r="C33" s="32" t="s">
        <v>118</v>
      </c>
      <c r="D33" s="36" t="s">
        <v>46</v>
      </c>
      <c r="E33" s="33">
        <v>301571000</v>
      </c>
      <c r="F33" s="33">
        <v>301571000</v>
      </c>
      <c r="G33" s="46">
        <v>0</v>
      </c>
      <c r="H33" s="33">
        <v>301571000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24">
        <f t="shared" si="11"/>
        <v>0</v>
      </c>
      <c r="T33" s="24">
        <f t="shared" si="12"/>
        <v>100</v>
      </c>
      <c r="U33" s="24">
        <f t="shared" si="13"/>
        <v>0</v>
      </c>
      <c r="V33" s="24">
        <f t="shared" si="14"/>
        <v>0</v>
      </c>
      <c r="W33" s="24">
        <f t="shared" si="15"/>
        <v>0</v>
      </c>
      <c r="X33" s="24">
        <f t="shared" si="16"/>
        <v>0</v>
      </c>
      <c r="Y33" s="24">
        <f t="shared" si="17"/>
        <v>0</v>
      </c>
      <c r="Z33" s="24">
        <f t="shared" si="18"/>
        <v>0</v>
      </c>
      <c r="AA33" s="24">
        <f t="shared" si="19"/>
        <v>0</v>
      </c>
      <c r="AB33" s="24">
        <f t="shared" si="20"/>
        <v>0</v>
      </c>
      <c r="AC33" s="24">
        <f t="shared" si="21"/>
        <v>0</v>
      </c>
      <c r="AD33" s="24">
        <f t="shared" si="22"/>
        <v>0</v>
      </c>
    </row>
    <row r="34" spans="3:30" ht="16.5" x14ac:dyDescent="0.2">
      <c r="C34" s="42" t="s">
        <v>119</v>
      </c>
      <c r="D34" s="36" t="s">
        <v>120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24" t="e">
        <f t="shared" si="11"/>
        <v>#DIV/0!</v>
      </c>
      <c r="T34" s="24" t="e">
        <f t="shared" si="12"/>
        <v>#DIV/0!</v>
      </c>
      <c r="U34" s="24" t="e">
        <f t="shared" si="13"/>
        <v>#DIV/0!</v>
      </c>
      <c r="V34" s="24" t="e">
        <f t="shared" si="14"/>
        <v>#DIV/0!</v>
      </c>
      <c r="W34" s="24" t="e">
        <f t="shared" si="15"/>
        <v>#DIV/0!</v>
      </c>
      <c r="X34" s="24" t="e">
        <f t="shared" si="16"/>
        <v>#DIV/0!</v>
      </c>
      <c r="Y34" s="24" t="e">
        <f t="shared" si="17"/>
        <v>#DIV/0!</v>
      </c>
      <c r="Z34" s="24" t="e">
        <f t="shared" si="18"/>
        <v>#DIV/0!</v>
      </c>
      <c r="AA34" s="24" t="e">
        <f t="shared" si="19"/>
        <v>#DIV/0!</v>
      </c>
      <c r="AB34" s="24" t="e">
        <f t="shared" si="20"/>
        <v>#DIV/0!</v>
      </c>
      <c r="AC34" s="24" t="e">
        <f t="shared" si="21"/>
        <v>#DIV/0!</v>
      </c>
      <c r="AD34" s="24" t="e">
        <f t="shared" si="22"/>
        <v>#DIV/0!</v>
      </c>
    </row>
    <row r="35" spans="3:30" x14ac:dyDescent="0.2">
      <c r="C35" s="39" t="s">
        <v>121</v>
      </c>
      <c r="D35" s="39" t="s">
        <v>122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24" t="e">
        <f t="shared" si="11"/>
        <v>#DIV/0!</v>
      </c>
      <c r="T35" s="24" t="e">
        <f t="shared" si="12"/>
        <v>#DIV/0!</v>
      </c>
      <c r="U35" s="24" t="e">
        <f t="shared" si="13"/>
        <v>#DIV/0!</v>
      </c>
      <c r="V35" s="24" t="e">
        <f t="shared" si="14"/>
        <v>#DIV/0!</v>
      </c>
      <c r="W35" s="24" t="e">
        <f t="shared" si="15"/>
        <v>#DIV/0!</v>
      </c>
      <c r="X35" s="24" t="e">
        <f t="shared" si="16"/>
        <v>#DIV/0!</v>
      </c>
      <c r="Y35" s="24" t="e">
        <f t="shared" si="17"/>
        <v>#DIV/0!</v>
      </c>
      <c r="Z35" s="24" t="e">
        <f t="shared" si="18"/>
        <v>#DIV/0!</v>
      </c>
      <c r="AA35" s="24" t="e">
        <f t="shared" si="19"/>
        <v>#DIV/0!</v>
      </c>
      <c r="AB35" s="24" t="e">
        <f t="shared" si="20"/>
        <v>#DIV/0!</v>
      </c>
      <c r="AC35" s="24" t="e">
        <f t="shared" si="21"/>
        <v>#DIV/0!</v>
      </c>
      <c r="AD35" s="24" t="e">
        <f t="shared" si="22"/>
        <v>#DIV/0!</v>
      </c>
    </row>
    <row r="36" spans="3:30" x14ac:dyDescent="0.2">
      <c r="C36" s="39" t="s">
        <v>123</v>
      </c>
      <c r="D36" s="39" t="s">
        <v>47</v>
      </c>
      <c r="E36" s="40">
        <v>301571000</v>
      </c>
      <c r="F36" s="40">
        <v>301571000</v>
      </c>
      <c r="G36" s="41">
        <v>0</v>
      </c>
      <c r="H36" s="40">
        <v>301571000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24">
        <f t="shared" si="11"/>
        <v>0</v>
      </c>
      <c r="T36" s="24">
        <f t="shared" si="12"/>
        <v>100</v>
      </c>
      <c r="U36" s="24">
        <f t="shared" si="13"/>
        <v>0</v>
      </c>
      <c r="V36" s="24">
        <f t="shared" si="14"/>
        <v>0</v>
      </c>
      <c r="W36" s="24">
        <f t="shared" si="15"/>
        <v>0</v>
      </c>
      <c r="X36" s="24">
        <f t="shared" si="16"/>
        <v>0</v>
      </c>
      <c r="Y36" s="24">
        <f t="shared" si="17"/>
        <v>0</v>
      </c>
      <c r="Z36" s="24">
        <f t="shared" si="18"/>
        <v>0</v>
      </c>
      <c r="AA36" s="24">
        <f t="shared" si="19"/>
        <v>0</v>
      </c>
      <c r="AB36" s="24">
        <f t="shared" si="20"/>
        <v>0</v>
      </c>
      <c r="AC36" s="24">
        <f t="shared" si="21"/>
        <v>0</v>
      </c>
      <c r="AD36" s="24">
        <f t="shared" si="22"/>
        <v>0</v>
      </c>
    </row>
    <row r="37" spans="3:30" ht="24.75" x14ac:dyDescent="0.2">
      <c r="C37" s="32" t="s">
        <v>124</v>
      </c>
      <c r="D37" s="36" t="s">
        <v>48</v>
      </c>
      <c r="E37" s="33">
        <v>6864203586</v>
      </c>
      <c r="F37" s="33">
        <v>6864203586</v>
      </c>
      <c r="G37" s="33">
        <v>619540847</v>
      </c>
      <c r="H37" s="33">
        <v>633540847</v>
      </c>
      <c r="I37" s="33">
        <v>633540847</v>
      </c>
      <c r="J37" s="33">
        <v>633640847</v>
      </c>
      <c r="K37" s="33">
        <v>633640847</v>
      </c>
      <c r="L37" s="33">
        <v>632940847</v>
      </c>
      <c r="M37" s="33">
        <v>633558629</v>
      </c>
      <c r="N37" s="33">
        <v>628340847</v>
      </c>
      <c r="O37" s="33">
        <v>627240847</v>
      </c>
      <c r="P37" s="33">
        <v>622474807</v>
      </c>
      <c r="Q37" s="33">
        <v>358200859</v>
      </c>
      <c r="R37" s="33">
        <v>207542515</v>
      </c>
      <c r="S37" s="24">
        <f t="shared" si="11"/>
        <v>9.025677039410585</v>
      </c>
      <c r="T37" s="24">
        <f t="shared" si="12"/>
        <v>9.2296336940260453</v>
      </c>
      <c r="U37" s="24">
        <f t="shared" si="13"/>
        <v>9.2296336940260453</v>
      </c>
      <c r="V37" s="24">
        <f t="shared" si="14"/>
        <v>9.231090527273297</v>
      </c>
      <c r="W37" s="24">
        <f t="shared" si="15"/>
        <v>9.231090527273297</v>
      </c>
      <c r="X37" s="24">
        <f t="shared" si="16"/>
        <v>9.220892694542524</v>
      </c>
      <c r="Y37" s="24">
        <f t="shared" si="17"/>
        <v>9.2298927481140716</v>
      </c>
      <c r="Z37" s="24">
        <f t="shared" si="18"/>
        <v>9.1538783651688735</v>
      </c>
      <c r="AA37" s="24">
        <f t="shared" si="19"/>
        <v>9.1378531994490881</v>
      </c>
      <c r="AB37" s="24">
        <f t="shared" si="20"/>
        <v>9.0684199441516977</v>
      </c>
      <c r="AC37" s="24">
        <f t="shared" si="21"/>
        <v>5.2183892058588484</v>
      </c>
      <c r="AD37" s="24">
        <f t="shared" si="22"/>
        <v>3.0235483607056293</v>
      </c>
    </row>
    <row r="38" spans="3:30" x14ac:dyDescent="0.2">
      <c r="C38" s="39" t="s">
        <v>125</v>
      </c>
      <c r="D38" s="39" t="s">
        <v>49</v>
      </c>
      <c r="E38" s="40">
        <v>12000000</v>
      </c>
      <c r="F38" s="40">
        <v>12000000</v>
      </c>
      <c r="G38" s="40">
        <v>500000</v>
      </c>
      <c r="H38" s="40">
        <v>1500000</v>
      </c>
      <c r="I38" s="40">
        <v>1500000</v>
      </c>
      <c r="J38" s="40">
        <v>1600000</v>
      </c>
      <c r="K38" s="40">
        <v>1600000</v>
      </c>
      <c r="L38" s="40">
        <v>1100000</v>
      </c>
      <c r="M38" s="40">
        <v>1600000</v>
      </c>
      <c r="N38" s="40">
        <v>1600000</v>
      </c>
      <c r="O38" s="40">
        <v>500000</v>
      </c>
      <c r="P38" s="40">
        <v>500000</v>
      </c>
      <c r="Q38" s="41">
        <v>0</v>
      </c>
      <c r="R38" s="41">
        <v>0</v>
      </c>
      <c r="S38" s="24">
        <f t="shared" si="11"/>
        <v>4.1666666666666661</v>
      </c>
      <c r="T38" s="24">
        <f t="shared" si="12"/>
        <v>12.5</v>
      </c>
      <c r="U38" s="24">
        <f t="shared" si="13"/>
        <v>12.5</v>
      </c>
      <c r="V38" s="24">
        <f t="shared" si="14"/>
        <v>13.333333333333334</v>
      </c>
      <c r="W38" s="24">
        <f t="shared" si="15"/>
        <v>13.333333333333334</v>
      </c>
      <c r="X38" s="24">
        <f t="shared" si="16"/>
        <v>9.1666666666666661</v>
      </c>
      <c r="Y38" s="24">
        <f t="shared" si="17"/>
        <v>13.333333333333334</v>
      </c>
      <c r="Z38" s="24">
        <f t="shared" si="18"/>
        <v>13.333333333333334</v>
      </c>
      <c r="AA38" s="24">
        <f t="shared" si="19"/>
        <v>4.1666666666666661</v>
      </c>
      <c r="AB38" s="24">
        <f t="shared" si="20"/>
        <v>4.1666666666666661</v>
      </c>
      <c r="AC38" s="24">
        <f t="shared" si="21"/>
        <v>0</v>
      </c>
      <c r="AD38" s="24">
        <f t="shared" si="22"/>
        <v>0</v>
      </c>
    </row>
    <row r="39" spans="3:30" ht="16.5" x14ac:dyDescent="0.2">
      <c r="C39" s="39" t="s">
        <v>126</v>
      </c>
      <c r="D39" s="39" t="s">
        <v>127</v>
      </c>
      <c r="E39" s="40">
        <v>2572656556</v>
      </c>
      <c r="F39" s="40">
        <v>2572656556</v>
      </c>
      <c r="G39" s="40">
        <v>211542463</v>
      </c>
      <c r="H39" s="40">
        <v>216542463</v>
      </c>
      <c r="I39" s="40">
        <v>216542463</v>
      </c>
      <c r="J39" s="40">
        <v>216542463</v>
      </c>
      <c r="K39" s="40">
        <v>216542463</v>
      </c>
      <c r="L39" s="40">
        <v>216542463</v>
      </c>
      <c r="M39" s="40">
        <v>216542463</v>
      </c>
      <c r="N39" s="40">
        <v>216542463</v>
      </c>
      <c r="O39" s="40">
        <v>216542463</v>
      </c>
      <c r="P39" s="40">
        <v>212722463</v>
      </c>
      <c r="Q39" s="40">
        <v>208509463</v>
      </c>
      <c r="R39" s="40">
        <v>207542463</v>
      </c>
      <c r="S39" s="24">
        <f t="shared" si="11"/>
        <v>8.2227245804200528</v>
      </c>
      <c r="T39" s="24">
        <f t="shared" si="12"/>
        <v>8.417076212329059</v>
      </c>
      <c r="U39" s="24">
        <f t="shared" si="13"/>
        <v>8.417076212329059</v>
      </c>
      <c r="V39" s="24">
        <f t="shared" si="14"/>
        <v>8.417076212329059</v>
      </c>
      <c r="W39" s="24">
        <f t="shared" si="15"/>
        <v>8.417076212329059</v>
      </c>
      <c r="X39" s="24">
        <f t="shared" si="16"/>
        <v>8.417076212329059</v>
      </c>
      <c r="Y39" s="24">
        <f t="shared" si="17"/>
        <v>8.417076212329059</v>
      </c>
      <c r="Z39" s="24">
        <f t="shared" si="18"/>
        <v>8.417076212329059</v>
      </c>
      <c r="AA39" s="24">
        <f t="shared" si="19"/>
        <v>8.417076212329059</v>
      </c>
      <c r="AB39" s="24">
        <f t="shared" si="20"/>
        <v>8.2685915655505795</v>
      </c>
      <c r="AC39" s="24">
        <f t="shared" si="21"/>
        <v>8.1048308805040499</v>
      </c>
      <c r="AD39" s="24">
        <f t="shared" si="22"/>
        <v>8.0672432748928493</v>
      </c>
    </row>
    <row r="40" spans="3:30" ht="16.5" x14ac:dyDescent="0.2">
      <c r="C40" s="42" t="s">
        <v>128</v>
      </c>
      <c r="D40" s="36" t="s">
        <v>51</v>
      </c>
      <c r="E40" s="43">
        <v>4279547030</v>
      </c>
      <c r="F40" s="43">
        <v>4279547030</v>
      </c>
      <c r="G40" s="43">
        <v>407498384</v>
      </c>
      <c r="H40" s="43">
        <v>415498384</v>
      </c>
      <c r="I40" s="43">
        <v>415498384</v>
      </c>
      <c r="J40" s="43">
        <v>415498384</v>
      </c>
      <c r="K40" s="43">
        <v>415498384</v>
      </c>
      <c r="L40" s="43">
        <v>415298384</v>
      </c>
      <c r="M40" s="43">
        <v>415416166</v>
      </c>
      <c r="N40" s="43">
        <v>410198384</v>
      </c>
      <c r="O40" s="43">
        <v>410198384</v>
      </c>
      <c r="P40" s="43">
        <v>409252344</v>
      </c>
      <c r="Q40" s="43">
        <v>149691396</v>
      </c>
      <c r="R40" s="44">
        <v>52</v>
      </c>
      <c r="S40" s="24">
        <f t="shared" si="11"/>
        <v>9.5219980325815001</v>
      </c>
      <c r="T40" s="24">
        <f t="shared" si="12"/>
        <v>9.7089337046028437</v>
      </c>
      <c r="U40" s="24">
        <f t="shared" si="13"/>
        <v>9.7089337046028437</v>
      </c>
      <c r="V40" s="24">
        <f t="shared" si="14"/>
        <v>9.7089337046028437</v>
      </c>
      <c r="W40" s="24">
        <f t="shared" si="15"/>
        <v>9.7089337046028437</v>
      </c>
      <c r="X40" s="24">
        <f t="shared" si="16"/>
        <v>9.7042603128023117</v>
      </c>
      <c r="Y40" s="24">
        <f t="shared" si="17"/>
        <v>9.707012519967563</v>
      </c>
      <c r="Z40" s="24">
        <f t="shared" si="18"/>
        <v>9.5850888218887036</v>
      </c>
      <c r="AA40" s="24">
        <f t="shared" si="19"/>
        <v>9.5850888218887036</v>
      </c>
      <c r="AB40" s="24">
        <f t="shared" si="20"/>
        <v>9.5629827439938193</v>
      </c>
      <c r="AC40" s="24">
        <f t="shared" si="21"/>
        <v>3.4978327133841547</v>
      </c>
      <c r="AD40" s="24">
        <f t="shared" si="22"/>
        <v>1.2150818681387407E-6</v>
      </c>
    </row>
    <row r="41" spans="3:30" x14ac:dyDescent="0.2">
      <c r="C41" s="57" t="s">
        <v>52</v>
      </c>
      <c r="D41" s="60" t="s">
        <v>53</v>
      </c>
      <c r="E41" s="63" t="s">
        <v>54</v>
      </c>
      <c r="F41" s="66" t="s">
        <v>55</v>
      </c>
      <c r="G41" s="69" t="s">
        <v>56</v>
      </c>
      <c r="H41" s="70"/>
      <c r="I41" s="70"/>
      <c r="J41" s="70"/>
      <c r="K41" s="70"/>
      <c r="L41" s="71"/>
      <c r="M41" s="69" t="s">
        <v>57</v>
      </c>
      <c r="N41" s="70"/>
      <c r="O41" s="70"/>
      <c r="P41" s="70"/>
      <c r="Q41" s="70"/>
      <c r="R41" s="71"/>
      <c r="S41" s="24" t="e">
        <f t="shared" si="11"/>
        <v>#VALUE!</v>
      </c>
      <c r="T41" s="24" t="e">
        <f t="shared" si="12"/>
        <v>#VALUE!</v>
      </c>
      <c r="U41" s="24" t="e">
        <f t="shared" si="13"/>
        <v>#VALUE!</v>
      </c>
      <c r="V41" s="24" t="e">
        <f t="shared" si="14"/>
        <v>#VALUE!</v>
      </c>
      <c r="W41" s="24" t="e">
        <f t="shared" si="15"/>
        <v>#VALUE!</v>
      </c>
      <c r="X41" s="24" t="e">
        <f t="shared" si="16"/>
        <v>#VALUE!</v>
      </c>
      <c r="Y41" s="24" t="e">
        <f t="shared" si="17"/>
        <v>#VALUE!</v>
      </c>
      <c r="Z41" s="24" t="e">
        <f t="shared" si="18"/>
        <v>#VALUE!</v>
      </c>
      <c r="AA41" s="24" t="e">
        <f t="shared" si="19"/>
        <v>#VALUE!</v>
      </c>
      <c r="AB41" s="24" t="e">
        <f t="shared" si="20"/>
        <v>#VALUE!</v>
      </c>
      <c r="AC41" s="24" t="e">
        <f t="shared" si="21"/>
        <v>#VALUE!</v>
      </c>
      <c r="AD41" s="24" t="e">
        <f t="shared" si="22"/>
        <v>#VALUE!</v>
      </c>
    </row>
    <row r="42" spans="3:30" x14ac:dyDescent="0.2">
      <c r="C42" s="58"/>
      <c r="D42" s="61"/>
      <c r="E42" s="64"/>
      <c r="F42" s="67"/>
      <c r="G42" s="69" t="s">
        <v>58</v>
      </c>
      <c r="H42" s="70"/>
      <c r="I42" s="71"/>
      <c r="J42" s="69" t="s">
        <v>59</v>
      </c>
      <c r="K42" s="70"/>
      <c r="L42" s="71"/>
      <c r="M42" s="69" t="s">
        <v>60</v>
      </c>
      <c r="N42" s="70"/>
      <c r="O42" s="71"/>
      <c r="P42" s="69" t="s">
        <v>61</v>
      </c>
      <c r="Q42" s="70"/>
      <c r="R42" s="71"/>
      <c r="S42" s="24" t="e">
        <f t="shared" si="11"/>
        <v>#VALUE!</v>
      </c>
      <c r="T42" s="24" t="e">
        <f t="shared" si="12"/>
        <v>#DIV/0!</v>
      </c>
      <c r="U42" s="24" t="e">
        <f t="shared" si="13"/>
        <v>#DIV/0!</v>
      </c>
      <c r="V42" s="24" t="e">
        <f t="shared" si="14"/>
        <v>#VALUE!</v>
      </c>
      <c r="W42" s="24" t="e">
        <f t="shared" si="15"/>
        <v>#DIV/0!</v>
      </c>
      <c r="X42" s="24" t="e">
        <f t="shared" si="16"/>
        <v>#DIV/0!</v>
      </c>
      <c r="Y42" s="24" t="e">
        <f t="shared" si="17"/>
        <v>#VALUE!</v>
      </c>
      <c r="Z42" s="24" t="e">
        <f t="shared" si="18"/>
        <v>#DIV/0!</v>
      </c>
      <c r="AA42" s="24" t="e">
        <f t="shared" si="19"/>
        <v>#DIV/0!</v>
      </c>
      <c r="AB42" s="24" t="e">
        <f t="shared" si="20"/>
        <v>#VALUE!</v>
      </c>
      <c r="AC42" s="24" t="e">
        <f t="shared" si="21"/>
        <v>#DIV/0!</v>
      </c>
      <c r="AD42" s="24" t="e">
        <f t="shared" si="22"/>
        <v>#DIV/0!</v>
      </c>
    </row>
    <row r="43" spans="3:30" x14ac:dyDescent="0.2">
      <c r="C43" s="59"/>
      <c r="D43" s="62"/>
      <c r="E43" s="65"/>
      <c r="F43" s="68"/>
      <c r="G43" s="28" t="s">
        <v>62</v>
      </c>
      <c r="H43" s="28" t="s">
        <v>63</v>
      </c>
      <c r="I43" s="29" t="s">
        <v>64</v>
      </c>
      <c r="J43" s="29" t="s">
        <v>65</v>
      </c>
      <c r="K43" s="29" t="s">
        <v>66</v>
      </c>
      <c r="L43" s="29" t="s">
        <v>67</v>
      </c>
      <c r="M43" s="29" t="s">
        <v>68</v>
      </c>
      <c r="N43" s="28" t="s">
        <v>69</v>
      </c>
      <c r="O43" s="28" t="s">
        <v>70</v>
      </c>
      <c r="P43" s="28" t="s">
        <v>71</v>
      </c>
      <c r="Q43" s="28" t="s">
        <v>72</v>
      </c>
      <c r="R43" s="28" t="s">
        <v>73</v>
      </c>
      <c r="S43" s="24" t="e">
        <f t="shared" si="11"/>
        <v>#VALUE!</v>
      </c>
      <c r="T43" s="24" t="e">
        <f t="shared" si="12"/>
        <v>#VALUE!</v>
      </c>
      <c r="U43" s="24" t="e">
        <f t="shared" si="13"/>
        <v>#VALUE!</v>
      </c>
      <c r="V43" s="24" t="e">
        <f t="shared" si="14"/>
        <v>#VALUE!</v>
      </c>
      <c r="W43" s="24" t="e">
        <f t="shared" si="15"/>
        <v>#VALUE!</v>
      </c>
      <c r="X43" s="24" t="e">
        <f t="shared" si="16"/>
        <v>#VALUE!</v>
      </c>
      <c r="Y43" s="24" t="e">
        <f t="shared" si="17"/>
        <v>#VALUE!</v>
      </c>
      <c r="Z43" s="24" t="e">
        <f t="shared" si="18"/>
        <v>#VALUE!</v>
      </c>
      <c r="AA43" s="24" t="e">
        <f t="shared" si="19"/>
        <v>#VALUE!</v>
      </c>
      <c r="AB43" s="24" t="e">
        <f t="shared" si="20"/>
        <v>#VALUE!</v>
      </c>
      <c r="AC43" s="24" t="e">
        <f t="shared" si="21"/>
        <v>#VALUE!</v>
      </c>
      <c r="AD43" s="24" t="e">
        <f t="shared" si="22"/>
        <v>#VALUE!</v>
      </c>
    </row>
    <row r="44" spans="3:30" ht="24.75" x14ac:dyDescent="0.2">
      <c r="C44" s="37" t="s">
        <v>129</v>
      </c>
      <c r="D44" s="32" t="s">
        <v>74</v>
      </c>
      <c r="E44" s="38">
        <v>3110507648</v>
      </c>
      <c r="F44" s="38">
        <v>3110507648</v>
      </c>
      <c r="G44" s="45">
        <v>0</v>
      </c>
      <c r="H44" s="38">
        <v>12800000</v>
      </c>
      <c r="I44" s="38">
        <v>541800000</v>
      </c>
      <c r="J44" s="38">
        <v>322300000</v>
      </c>
      <c r="K44" s="38">
        <v>178300000</v>
      </c>
      <c r="L44" s="38">
        <v>222300000</v>
      </c>
      <c r="M44" s="38">
        <v>382077334</v>
      </c>
      <c r="N44" s="38">
        <v>411264714</v>
      </c>
      <c r="O44" s="38">
        <v>339392000</v>
      </c>
      <c r="P44" s="38">
        <v>308726600</v>
      </c>
      <c r="Q44" s="38">
        <v>268447000</v>
      </c>
      <c r="R44" s="38">
        <v>123100000</v>
      </c>
      <c r="S44" s="24">
        <f t="shared" si="11"/>
        <v>0</v>
      </c>
      <c r="T44" s="24">
        <f t="shared" si="12"/>
        <v>0.4115083918289083</v>
      </c>
      <c r="U44" s="24">
        <f t="shared" si="13"/>
        <v>17.41837864788301</v>
      </c>
      <c r="V44" s="24">
        <f t="shared" si="14"/>
        <v>10.361652709879465</v>
      </c>
      <c r="W44" s="24">
        <f t="shared" si="15"/>
        <v>5.7321833018042456</v>
      </c>
      <c r="X44" s="24">
        <f t="shared" si="16"/>
        <v>7.1467433987161186</v>
      </c>
      <c r="Y44" s="24">
        <f t="shared" si="17"/>
        <v>12.283439786610677</v>
      </c>
      <c r="Z44" s="24">
        <f t="shared" si="18"/>
        <v>13.221787583915306</v>
      </c>
      <c r="AA44" s="24">
        <f t="shared" si="19"/>
        <v>10.911145009343503</v>
      </c>
      <c r="AB44" s="24">
        <f t="shared" si="20"/>
        <v>9.9252802094380179</v>
      </c>
      <c r="AC44" s="24">
        <f t="shared" si="21"/>
        <v>8.6303275985386669</v>
      </c>
      <c r="AD44" s="24">
        <f t="shared" si="22"/>
        <v>3.9575533620420793</v>
      </c>
    </row>
    <row r="45" spans="3:30" ht="33" x14ac:dyDescent="0.2">
      <c r="C45" s="42" t="s">
        <v>130</v>
      </c>
      <c r="D45" s="36" t="s">
        <v>75</v>
      </c>
      <c r="E45" s="43">
        <v>800000000</v>
      </c>
      <c r="F45" s="43">
        <v>800000000</v>
      </c>
      <c r="G45" s="44">
        <v>0</v>
      </c>
      <c r="H45" s="43">
        <v>5000000</v>
      </c>
      <c r="I45" s="43">
        <v>63000000</v>
      </c>
      <c r="J45" s="43">
        <v>83000000</v>
      </c>
      <c r="K45" s="43">
        <v>83000000</v>
      </c>
      <c r="L45" s="43">
        <v>83000000</v>
      </c>
      <c r="M45" s="43">
        <v>83000000</v>
      </c>
      <c r="N45" s="43">
        <v>83000000</v>
      </c>
      <c r="O45" s="43">
        <v>67700000</v>
      </c>
      <c r="P45" s="43">
        <v>63000000</v>
      </c>
      <c r="Q45" s="43">
        <v>63200000</v>
      </c>
      <c r="R45" s="43">
        <v>123100000</v>
      </c>
      <c r="S45" s="24">
        <f t="shared" si="11"/>
        <v>0</v>
      </c>
      <c r="T45" s="24">
        <f t="shared" si="12"/>
        <v>0.625</v>
      </c>
      <c r="U45" s="24">
        <f t="shared" si="13"/>
        <v>7.875</v>
      </c>
      <c r="V45" s="24">
        <f t="shared" si="14"/>
        <v>10.375</v>
      </c>
      <c r="W45" s="24">
        <f t="shared" si="15"/>
        <v>10.375</v>
      </c>
      <c r="X45" s="24">
        <f t="shared" si="16"/>
        <v>10.375</v>
      </c>
      <c r="Y45" s="24">
        <f t="shared" si="17"/>
        <v>10.375</v>
      </c>
      <c r="Z45" s="24">
        <f t="shared" si="18"/>
        <v>10.375</v>
      </c>
      <c r="AA45" s="24">
        <f t="shared" si="19"/>
        <v>8.4625000000000004</v>
      </c>
      <c r="AB45" s="24">
        <f t="shared" si="20"/>
        <v>7.875</v>
      </c>
      <c r="AC45" s="24">
        <f t="shared" si="21"/>
        <v>7.9</v>
      </c>
      <c r="AD45" s="24">
        <f t="shared" si="22"/>
        <v>15.387500000000001</v>
      </c>
    </row>
    <row r="46" spans="3:30" ht="16.5" x14ac:dyDescent="0.2">
      <c r="C46" s="39" t="s">
        <v>131</v>
      </c>
      <c r="D46" s="36" t="s">
        <v>76</v>
      </c>
      <c r="E46" s="40">
        <v>700000000</v>
      </c>
      <c r="F46" s="40">
        <v>700000000</v>
      </c>
      <c r="G46" s="41">
        <v>0</v>
      </c>
      <c r="H46" s="41">
        <v>0</v>
      </c>
      <c r="I46" s="40">
        <v>95000000</v>
      </c>
      <c r="J46" s="40">
        <v>125000000</v>
      </c>
      <c r="K46" s="40">
        <v>86000000</v>
      </c>
      <c r="L46" s="40">
        <v>80000000</v>
      </c>
      <c r="M46" s="40">
        <v>90000000</v>
      </c>
      <c r="N46" s="40">
        <v>115280000</v>
      </c>
      <c r="O46" s="40">
        <v>67300000</v>
      </c>
      <c r="P46" s="40">
        <v>41420000</v>
      </c>
      <c r="Q46" s="41">
        <v>0</v>
      </c>
      <c r="R46" s="41">
        <v>0</v>
      </c>
      <c r="S46" s="24">
        <f t="shared" si="11"/>
        <v>0</v>
      </c>
      <c r="T46" s="24">
        <f t="shared" si="12"/>
        <v>0</v>
      </c>
      <c r="U46" s="24">
        <f t="shared" si="13"/>
        <v>13.571428571428571</v>
      </c>
      <c r="V46" s="24">
        <f t="shared" si="14"/>
        <v>17.857142857142858</v>
      </c>
      <c r="W46" s="24">
        <f t="shared" si="15"/>
        <v>12.285714285714286</v>
      </c>
      <c r="X46" s="24">
        <f t="shared" si="16"/>
        <v>11.428571428571429</v>
      </c>
      <c r="Y46" s="24">
        <f t="shared" si="17"/>
        <v>12.857142857142856</v>
      </c>
      <c r="Z46" s="24">
        <f t="shared" si="18"/>
        <v>16.46857142857143</v>
      </c>
      <c r="AA46" s="24">
        <f t="shared" si="19"/>
        <v>9.6142857142857139</v>
      </c>
      <c r="AB46" s="24">
        <f t="shared" si="20"/>
        <v>5.9171428571428573</v>
      </c>
      <c r="AC46" s="24">
        <f t="shared" si="21"/>
        <v>0</v>
      </c>
      <c r="AD46" s="24">
        <f t="shared" si="22"/>
        <v>0</v>
      </c>
    </row>
    <row r="47" spans="3:30" x14ac:dyDescent="0.2">
      <c r="C47" s="39" t="s">
        <v>132</v>
      </c>
      <c r="D47" s="39" t="s">
        <v>133</v>
      </c>
      <c r="E47" s="40">
        <v>357400000</v>
      </c>
      <c r="F47" s="40">
        <v>357400000</v>
      </c>
      <c r="G47" s="41">
        <v>0</v>
      </c>
      <c r="H47" s="40">
        <v>2000000</v>
      </c>
      <c r="I47" s="40">
        <v>328000000</v>
      </c>
      <c r="J47" s="40">
        <v>2500000</v>
      </c>
      <c r="K47" s="40">
        <v>3500000</v>
      </c>
      <c r="L47" s="40">
        <v>4500000</v>
      </c>
      <c r="M47" s="40">
        <v>7000000</v>
      </c>
      <c r="N47" s="40">
        <v>8000000</v>
      </c>
      <c r="O47" s="40">
        <v>1092000</v>
      </c>
      <c r="P47" s="40">
        <v>808000</v>
      </c>
      <c r="Q47" s="41">
        <v>0</v>
      </c>
      <c r="R47" s="41">
        <v>0</v>
      </c>
      <c r="S47" s="24">
        <f t="shared" si="11"/>
        <v>0</v>
      </c>
      <c r="T47" s="24">
        <f t="shared" si="12"/>
        <v>0.55959709009513148</v>
      </c>
      <c r="U47" s="24">
        <f t="shared" si="13"/>
        <v>91.773922775601562</v>
      </c>
      <c r="V47" s="24">
        <f t="shared" si="14"/>
        <v>0.69949636261891435</v>
      </c>
      <c r="W47" s="24">
        <f t="shared" si="15"/>
        <v>0.9792949076664802</v>
      </c>
      <c r="X47" s="24">
        <f t="shared" si="16"/>
        <v>1.259093452714046</v>
      </c>
      <c r="Y47" s="24">
        <f t="shared" si="17"/>
        <v>1.9585898153329604</v>
      </c>
      <c r="Z47" s="24">
        <f t="shared" si="18"/>
        <v>2.2383883603805259</v>
      </c>
      <c r="AA47" s="24">
        <f t="shared" si="19"/>
        <v>0.3055400111919418</v>
      </c>
      <c r="AB47" s="24">
        <f t="shared" si="20"/>
        <v>0.22607722439843314</v>
      </c>
      <c r="AC47" s="24">
        <f t="shared" si="21"/>
        <v>0</v>
      </c>
      <c r="AD47" s="24">
        <f t="shared" si="22"/>
        <v>0</v>
      </c>
    </row>
    <row r="48" spans="3:30" ht="16.5" x14ac:dyDescent="0.2">
      <c r="C48" s="39" t="s">
        <v>134</v>
      </c>
      <c r="D48" s="39" t="s">
        <v>81</v>
      </c>
      <c r="E48" s="40">
        <v>1253107648</v>
      </c>
      <c r="F48" s="40">
        <v>1253107648</v>
      </c>
      <c r="G48" s="41">
        <v>0</v>
      </c>
      <c r="H48" s="40">
        <v>5800000</v>
      </c>
      <c r="I48" s="40">
        <v>55800000</v>
      </c>
      <c r="J48" s="40">
        <v>111800000</v>
      </c>
      <c r="K48" s="40">
        <v>5800000</v>
      </c>
      <c r="L48" s="40">
        <v>54800000</v>
      </c>
      <c r="M48" s="40">
        <v>202077334</v>
      </c>
      <c r="N48" s="40">
        <v>204984714</v>
      </c>
      <c r="O48" s="40">
        <v>203300000</v>
      </c>
      <c r="P48" s="40">
        <v>203498600</v>
      </c>
      <c r="Q48" s="40">
        <v>205247000</v>
      </c>
      <c r="R48" s="41">
        <v>0</v>
      </c>
      <c r="S48" s="24">
        <f t="shared" si="11"/>
        <v>0</v>
      </c>
      <c r="T48" s="24">
        <f t="shared" si="12"/>
        <v>0.46284930183428263</v>
      </c>
      <c r="U48" s="24">
        <f t="shared" si="13"/>
        <v>4.4529294900608569</v>
      </c>
      <c r="V48" s="24">
        <f t="shared" si="14"/>
        <v>8.9218193008746205</v>
      </c>
      <c r="W48" s="24">
        <f t="shared" si="15"/>
        <v>0.46284930183428263</v>
      </c>
      <c r="X48" s="24">
        <f t="shared" si="16"/>
        <v>4.3731278862963254</v>
      </c>
      <c r="Y48" s="24">
        <f t="shared" si="17"/>
        <v>16.126095337660885</v>
      </c>
      <c r="Z48" s="24">
        <f t="shared" si="18"/>
        <v>16.358108924413813</v>
      </c>
      <c r="AA48" s="24">
        <f t="shared" si="19"/>
        <v>16.223666045329253</v>
      </c>
      <c r="AB48" s="24">
        <f t="shared" si="20"/>
        <v>16.239514643836888</v>
      </c>
      <c r="AC48" s="24">
        <f t="shared" si="21"/>
        <v>16.379039767858792</v>
      </c>
      <c r="AD48" s="24">
        <f t="shared" si="22"/>
        <v>0</v>
      </c>
    </row>
    <row r="49" spans="3:30" ht="24.75" x14ac:dyDescent="0.2">
      <c r="C49" s="34">
        <v>37624</v>
      </c>
      <c r="D49" s="36" t="s">
        <v>135</v>
      </c>
      <c r="E49" s="33">
        <v>2458498605</v>
      </c>
      <c r="F49" s="33">
        <v>2458498605</v>
      </c>
      <c r="G49" s="46">
        <v>0</v>
      </c>
      <c r="H49" s="33">
        <v>28605400</v>
      </c>
      <c r="I49" s="33">
        <v>41239375</v>
      </c>
      <c r="J49" s="33">
        <v>27162175</v>
      </c>
      <c r="K49" s="33">
        <v>214643175</v>
      </c>
      <c r="L49" s="33">
        <v>304917473</v>
      </c>
      <c r="M49" s="33">
        <v>149134028</v>
      </c>
      <c r="N49" s="33">
        <v>610960400</v>
      </c>
      <c r="O49" s="33">
        <v>762664665</v>
      </c>
      <c r="P49" s="33">
        <v>228541876</v>
      </c>
      <c r="Q49" s="33">
        <v>76412075</v>
      </c>
      <c r="R49" s="33">
        <v>14217963</v>
      </c>
      <c r="S49" s="24">
        <f t="shared" si="11"/>
        <v>0</v>
      </c>
      <c r="T49" s="24">
        <f t="shared" si="12"/>
        <v>1.1635312683042991</v>
      </c>
      <c r="U49" s="24">
        <f t="shared" si="13"/>
        <v>1.6774211267042798</v>
      </c>
      <c r="V49" s="24">
        <f t="shared" si="14"/>
        <v>1.1048277572644789</v>
      </c>
      <c r="W49" s="24">
        <f t="shared" si="15"/>
        <v>8.730660841680649</v>
      </c>
      <c r="X49" s="24">
        <f t="shared" si="16"/>
        <v>12.402588814973113</v>
      </c>
      <c r="Y49" s="24">
        <f t="shared" si="17"/>
        <v>6.0660611194448899</v>
      </c>
      <c r="Z49" s="24">
        <f t="shared" si="18"/>
        <v>24.850955731984236</v>
      </c>
      <c r="AA49" s="24">
        <f t="shared" si="19"/>
        <v>31.021561836517698</v>
      </c>
      <c r="AB49" s="24">
        <f t="shared" si="20"/>
        <v>9.2959937229657292</v>
      </c>
      <c r="AC49" s="24">
        <f t="shared" si="21"/>
        <v>3.1080788431035131</v>
      </c>
      <c r="AD49" s="24">
        <f t="shared" si="22"/>
        <v>0.5783189370571149</v>
      </c>
    </row>
    <row r="50" spans="3:30" ht="24.75" x14ac:dyDescent="0.2">
      <c r="C50" s="37" t="s">
        <v>136</v>
      </c>
      <c r="D50" s="36" t="s">
        <v>137</v>
      </c>
      <c r="E50" s="38">
        <v>2458498605</v>
      </c>
      <c r="F50" s="38">
        <v>2458498605</v>
      </c>
      <c r="G50" s="45">
        <v>0</v>
      </c>
      <c r="H50" s="38">
        <v>28605400</v>
      </c>
      <c r="I50" s="38">
        <v>41239375</v>
      </c>
      <c r="J50" s="38">
        <v>27162175</v>
      </c>
      <c r="K50" s="38">
        <v>214643175</v>
      </c>
      <c r="L50" s="38">
        <v>304917473</v>
      </c>
      <c r="M50" s="38">
        <v>149134028</v>
      </c>
      <c r="N50" s="38">
        <v>610960400</v>
      </c>
      <c r="O50" s="38">
        <v>762664665</v>
      </c>
      <c r="P50" s="38">
        <v>228541876</v>
      </c>
      <c r="Q50" s="38">
        <v>76412075</v>
      </c>
      <c r="R50" s="38">
        <v>14217963</v>
      </c>
      <c r="S50" s="24">
        <f t="shared" si="11"/>
        <v>0</v>
      </c>
      <c r="T50" s="24">
        <f t="shared" si="12"/>
        <v>1.1635312683042991</v>
      </c>
      <c r="U50" s="24">
        <f t="shared" si="13"/>
        <v>1.6774211267042798</v>
      </c>
      <c r="V50" s="24">
        <f t="shared" si="14"/>
        <v>1.1048277572644789</v>
      </c>
      <c r="W50" s="24">
        <f t="shared" si="15"/>
        <v>8.730660841680649</v>
      </c>
      <c r="X50" s="24">
        <f t="shared" si="16"/>
        <v>12.402588814973113</v>
      </c>
      <c r="Y50" s="24">
        <f t="shared" si="17"/>
        <v>6.0660611194448899</v>
      </c>
      <c r="Z50" s="24">
        <f t="shared" si="18"/>
        <v>24.850955731984236</v>
      </c>
      <c r="AA50" s="24">
        <f t="shared" si="19"/>
        <v>31.021561836517698</v>
      </c>
      <c r="AB50" s="24">
        <f t="shared" si="20"/>
        <v>9.2959937229657292</v>
      </c>
      <c r="AC50" s="24">
        <f t="shared" si="21"/>
        <v>3.1080788431035131</v>
      </c>
      <c r="AD50" s="24">
        <f t="shared" si="22"/>
        <v>0.5783189370571149</v>
      </c>
    </row>
    <row r="51" spans="3:30" ht="24.75" x14ac:dyDescent="0.2">
      <c r="C51" s="39" t="s">
        <v>138</v>
      </c>
      <c r="D51" s="36" t="s">
        <v>139</v>
      </c>
      <c r="E51" s="40">
        <v>307933913</v>
      </c>
      <c r="F51" s="40">
        <v>307933913</v>
      </c>
      <c r="G51" s="41">
        <v>0</v>
      </c>
      <c r="H51" s="40">
        <v>5642600</v>
      </c>
      <c r="I51" s="40">
        <v>20021775</v>
      </c>
      <c r="J51" s="40">
        <v>13763375</v>
      </c>
      <c r="K51" s="40">
        <v>41733375</v>
      </c>
      <c r="L51" s="40">
        <v>41171738</v>
      </c>
      <c r="M51" s="40">
        <v>18867375</v>
      </c>
      <c r="N51" s="40">
        <v>27253375</v>
      </c>
      <c r="O51" s="40">
        <v>32398375</v>
      </c>
      <c r="P51" s="40">
        <v>27153375</v>
      </c>
      <c r="Q51" s="40">
        <v>69677075</v>
      </c>
      <c r="R51" s="40">
        <v>10251475</v>
      </c>
      <c r="S51" s="24">
        <f t="shared" si="11"/>
        <v>0</v>
      </c>
      <c r="T51" s="24">
        <f t="shared" si="12"/>
        <v>1.8324061630717499</v>
      </c>
      <c r="U51" s="24">
        <f t="shared" si="13"/>
        <v>6.5019714148860253</v>
      </c>
      <c r="V51" s="24">
        <f t="shared" si="14"/>
        <v>4.4695872779689578</v>
      </c>
      <c r="W51" s="24">
        <f t="shared" si="15"/>
        <v>13.552705057204919</v>
      </c>
      <c r="X51" s="24">
        <f t="shared" si="16"/>
        <v>13.370316247044864</v>
      </c>
      <c r="Y51" s="24">
        <f t="shared" si="17"/>
        <v>6.1270857815520952</v>
      </c>
      <c r="Z51" s="24">
        <f t="shared" si="18"/>
        <v>8.850397390299781</v>
      </c>
      <c r="AA51" s="24">
        <f t="shared" si="19"/>
        <v>10.521210439072361</v>
      </c>
      <c r="AB51" s="24">
        <f t="shared" si="20"/>
        <v>8.81792288983773</v>
      </c>
      <c r="AC51" s="24">
        <f t="shared" si="21"/>
        <v>22.627282042819363</v>
      </c>
      <c r="AD51" s="24">
        <f t="shared" si="22"/>
        <v>3.3291152962421515</v>
      </c>
    </row>
    <row r="52" spans="3:30" ht="16.5" x14ac:dyDescent="0.2">
      <c r="C52" s="39" t="s">
        <v>140</v>
      </c>
      <c r="D52" s="36" t="s">
        <v>141</v>
      </c>
      <c r="E52" s="40">
        <v>1153511922</v>
      </c>
      <c r="F52" s="40">
        <v>1153511922</v>
      </c>
      <c r="G52" s="41">
        <v>0</v>
      </c>
      <c r="H52" s="40">
        <v>4153000</v>
      </c>
      <c r="I52" s="40">
        <v>8518600</v>
      </c>
      <c r="J52" s="40">
        <v>5893800</v>
      </c>
      <c r="K52" s="40">
        <v>148082000</v>
      </c>
      <c r="L52" s="40">
        <v>118402410</v>
      </c>
      <c r="M52" s="40">
        <v>8273800</v>
      </c>
      <c r="N52" s="40">
        <v>342436600</v>
      </c>
      <c r="O52" s="40">
        <v>510134790</v>
      </c>
      <c r="P52" s="40">
        <v>7011922</v>
      </c>
      <c r="Q52" s="40">
        <v>605000</v>
      </c>
      <c r="R52" s="41">
        <v>0</v>
      </c>
    </row>
    <row r="53" spans="3:30" ht="24.75" x14ac:dyDescent="0.2">
      <c r="C53" s="39" t="s">
        <v>142</v>
      </c>
      <c r="D53" s="36" t="s">
        <v>143</v>
      </c>
      <c r="E53" s="40">
        <v>83069588</v>
      </c>
      <c r="F53" s="40">
        <v>83069588</v>
      </c>
      <c r="G53" s="41">
        <v>0</v>
      </c>
      <c r="H53" s="40">
        <v>5441600</v>
      </c>
      <c r="I53" s="40">
        <v>6789000</v>
      </c>
      <c r="J53" s="40">
        <v>4200000</v>
      </c>
      <c r="K53" s="40">
        <v>4070000</v>
      </c>
      <c r="L53" s="40">
        <v>9780000</v>
      </c>
      <c r="M53" s="40">
        <v>18370400</v>
      </c>
      <c r="N53" s="40">
        <v>11280000</v>
      </c>
      <c r="O53" s="40">
        <v>7140000</v>
      </c>
      <c r="P53" s="40">
        <v>6400000</v>
      </c>
      <c r="Q53" s="40">
        <v>5632100</v>
      </c>
      <c r="R53" s="40">
        <v>3966488</v>
      </c>
    </row>
    <row r="54" spans="3:30" ht="24.75" x14ac:dyDescent="0.2">
      <c r="C54" s="39" t="s">
        <v>144</v>
      </c>
      <c r="D54" s="36" t="s">
        <v>145</v>
      </c>
      <c r="E54" s="40">
        <v>886690603</v>
      </c>
      <c r="F54" s="40">
        <v>886690603</v>
      </c>
      <c r="G54" s="41">
        <v>0</v>
      </c>
      <c r="H54" s="40">
        <v>8298200</v>
      </c>
      <c r="I54" s="40">
        <v>5710000</v>
      </c>
      <c r="J54" s="40">
        <v>1285000</v>
      </c>
      <c r="K54" s="40">
        <v>18257800</v>
      </c>
      <c r="L54" s="40">
        <v>135313325</v>
      </c>
      <c r="M54" s="40">
        <v>93275853</v>
      </c>
      <c r="N54" s="40">
        <v>227670425</v>
      </c>
      <c r="O54" s="40">
        <v>211580000</v>
      </c>
      <c r="P54" s="40">
        <v>184802100</v>
      </c>
      <c r="Q54" s="40">
        <v>497900</v>
      </c>
      <c r="R54" s="41">
        <v>0</v>
      </c>
    </row>
    <row r="55" spans="3:30" ht="24.75" x14ac:dyDescent="0.2">
      <c r="C55" s="39" t="s">
        <v>146</v>
      </c>
      <c r="D55" s="36" t="s">
        <v>147</v>
      </c>
      <c r="E55" s="40">
        <v>27292579</v>
      </c>
      <c r="F55" s="40">
        <v>27292579</v>
      </c>
      <c r="G55" s="41">
        <v>0</v>
      </c>
      <c r="H55" s="40">
        <v>5070000</v>
      </c>
      <c r="I55" s="40">
        <v>200000</v>
      </c>
      <c r="J55" s="40">
        <v>2020000</v>
      </c>
      <c r="K55" s="40">
        <v>2500000</v>
      </c>
      <c r="L55" s="40">
        <v>250000</v>
      </c>
      <c r="M55" s="40">
        <v>10346600</v>
      </c>
      <c r="N55" s="40">
        <v>2320000</v>
      </c>
      <c r="O55" s="40">
        <v>1411500</v>
      </c>
      <c r="P55" s="40">
        <v>3174479</v>
      </c>
      <c r="Q55" s="41">
        <v>0</v>
      </c>
      <c r="R55" s="41">
        <v>0</v>
      </c>
    </row>
    <row r="56" spans="3:30" ht="33" x14ac:dyDescent="0.2">
      <c r="C56" s="34">
        <v>37989</v>
      </c>
      <c r="D56" s="36" t="s">
        <v>148</v>
      </c>
      <c r="E56" s="33">
        <v>1387597443</v>
      </c>
      <c r="F56" s="33">
        <v>1387597443</v>
      </c>
      <c r="G56" s="46">
        <v>0</v>
      </c>
      <c r="H56" s="33">
        <v>24831051</v>
      </c>
      <c r="I56" s="33">
        <v>10798350.6</v>
      </c>
      <c r="J56" s="33">
        <v>19960000</v>
      </c>
      <c r="K56" s="33">
        <v>259719402.90000001</v>
      </c>
      <c r="L56" s="33">
        <v>17609700.600000001</v>
      </c>
      <c r="M56" s="33">
        <v>39866701.399999999</v>
      </c>
      <c r="N56" s="33">
        <v>271192598.30000001</v>
      </c>
      <c r="O56" s="33">
        <v>393021550.60000002</v>
      </c>
      <c r="P56" s="33">
        <v>23250250.600000001</v>
      </c>
      <c r="Q56" s="33">
        <v>327347837</v>
      </c>
      <c r="R56" s="46">
        <v>0</v>
      </c>
    </row>
    <row r="57" spans="3:30" ht="24.75" x14ac:dyDescent="0.2">
      <c r="C57" s="32" t="s">
        <v>149</v>
      </c>
      <c r="D57" s="32" t="s">
        <v>150</v>
      </c>
      <c r="E57" s="33">
        <v>1387597443</v>
      </c>
      <c r="F57" s="33">
        <v>1387597443</v>
      </c>
      <c r="G57" s="46">
        <v>0</v>
      </c>
      <c r="H57" s="33">
        <v>24831051</v>
      </c>
      <c r="I57" s="33">
        <v>10798350.6</v>
      </c>
      <c r="J57" s="33">
        <v>19960000</v>
      </c>
      <c r="K57" s="33">
        <v>259719402.90000001</v>
      </c>
      <c r="L57" s="33">
        <v>17609700.600000001</v>
      </c>
      <c r="M57" s="33">
        <v>39866701.399999999</v>
      </c>
      <c r="N57" s="33">
        <v>271192598.30000001</v>
      </c>
      <c r="O57" s="33">
        <v>393021550.60000002</v>
      </c>
      <c r="P57" s="33">
        <v>23250250.600000001</v>
      </c>
      <c r="Q57" s="33">
        <v>327347837</v>
      </c>
      <c r="R57" s="46">
        <v>0</v>
      </c>
    </row>
    <row r="58" spans="3:30" ht="24.75" x14ac:dyDescent="0.2">
      <c r="C58" s="39" t="s">
        <v>151</v>
      </c>
      <c r="D58" s="36" t="s">
        <v>152</v>
      </c>
      <c r="E58" s="40">
        <v>43533194</v>
      </c>
      <c r="F58" s="40">
        <v>43533194</v>
      </c>
      <c r="G58" s="41">
        <v>0</v>
      </c>
      <c r="H58" s="40">
        <v>5600000</v>
      </c>
      <c r="I58" s="40">
        <v>2620000</v>
      </c>
      <c r="J58" s="40">
        <v>7400000</v>
      </c>
      <c r="K58" s="40">
        <v>650000</v>
      </c>
      <c r="L58" s="41">
        <v>0</v>
      </c>
      <c r="M58" s="40">
        <v>10750000</v>
      </c>
      <c r="N58" s="40">
        <v>5785294</v>
      </c>
      <c r="O58" s="40">
        <v>3101000</v>
      </c>
      <c r="P58" s="40">
        <v>7396900</v>
      </c>
      <c r="Q58" s="40">
        <v>230000</v>
      </c>
      <c r="R58" s="41">
        <v>0</v>
      </c>
    </row>
    <row r="59" spans="3:30" x14ac:dyDescent="0.2">
      <c r="C59" s="57" t="s">
        <v>52</v>
      </c>
      <c r="D59" s="60" t="s">
        <v>53</v>
      </c>
      <c r="E59" s="63" t="s">
        <v>54</v>
      </c>
      <c r="F59" s="66" t="s">
        <v>55</v>
      </c>
      <c r="G59" s="69" t="s">
        <v>56</v>
      </c>
      <c r="H59" s="70"/>
      <c r="I59" s="70"/>
      <c r="J59" s="70"/>
      <c r="K59" s="70"/>
      <c r="L59" s="71"/>
      <c r="M59" s="69" t="s">
        <v>57</v>
      </c>
      <c r="N59" s="70"/>
      <c r="O59" s="70"/>
      <c r="P59" s="70"/>
      <c r="Q59" s="70"/>
      <c r="R59" s="71"/>
    </row>
    <row r="60" spans="3:30" x14ac:dyDescent="0.2">
      <c r="C60" s="58"/>
      <c r="D60" s="61"/>
      <c r="E60" s="64"/>
      <c r="F60" s="67"/>
      <c r="G60" s="69" t="s">
        <v>58</v>
      </c>
      <c r="H60" s="70"/>
      <c r="I60" s="71"/>
      <c r="J60" s="69" t="s">
        <v>59</v>
      </c>
      <c r="K60" s="70"/>
      <c r="L60" s="71"/>
      <c r="M60" s="69" t="s">
        <v>60</v>
      </c>
      <c r="N60" s="70"/>
      <c r="O60" s="71"/>
      <c r="P60" s="69" t="s">
        <v>61</v>
      </c>
      <c r="Q60" s="70"/>
      <c r="R60" s="71"/>
    </row>
    <row r="61" spans="3:30" x14ac:dyDescent="0.2">
      <c r="C61" s="59"/>
      <c r="D61" s="62"/>
      <c r="E61" s="65"/>
      <c r="F61" s="68"/>
      <c r="G61" s="28" t="s">
        <v>62</v>
      </c>
      <c r="H61" s="28" t="s">
        <v>63</v>
      </c>
      <c r="I61" s="29" t="s">
        <v>64</v>
      </c>
      <c r="J61" s="29" t="s">
        <v>65</v>
      </c>
      <c r="K61" s="29" t="s">
        <v>66</v>
      </c>
      <c r="L61" s="29" t="s">
        <v>67</v>
      </c>
      <c r="M61" s="29" t="s">
        <v>68</v>
      </c>
      <c r="N61" s="28" t="s">
        <v>69</v>
      </c>
      <c r="O61" s="28" t="s">
        <v>70</v>
      </c>
      <c r="P61" s="28" t="s">
        <v>71</v>
      </c>
      <c r="Q61" s="28" t="s">
        <v>72</v>
      </c>
      <c r="R61" s="28" t="s">
        <v>73</v>
      </c>
    </row>
    <row r="62" spans="3:30" x14ac:dyDescent="0.2">
      <c r="C62" s="39" t="s">
        <v>153</v>
      </c>
      <c r="D62" s="39" t="s">
        <v>154</v>
      </c>
      <c r="E62" s="40">
        <v>1000000</v>
      </c>
      <c r="F62" s="40">
        <v>1000000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0">
        <v>1000000</v>
      </c>
      <c r="Q62" s="41">
        <v>0</v>
      </c>
      <c r="R62" s="41">
        <v>0</v>
      </c>
    </row>
    <row r="63" spans="3:30" ht="24.75" x14ac:dyDescent="0.2">
      <c r="C63" s="39" t="s">
        <v>155</v>
      </c>
      <c r="D63" s="36" t="s">
        <v>156</v>
      </c>
      <c r="E63" s="40">
        <v>1288167941</v>
      </c>
      <c r="F63" s="40">
        <v>1288167941</v>
      </c>
      <c r="G63" s="41">
        <v>0</v>
      </c>
      <c r="H63" s="40">
        <v>14569400</v>
      </c>
      <c r="I63" s="40">
        <v>3800000</v>
      </c>
      <c r="J63" s="40">
        <v>12360000</v>
      </c>
      <c r="K63" s="40">
        <v>256194052.30000001</v>
      </c>
      <c r="L63" s="40">
        <v>13360000</v>
      </c>
      <c r="M63" s="40">
        <v>11360000</v>
      </c>
      <c r="N63" s="40">
        <v>257194052.30000001</v>
      </c>
      <c r="O63" s="40">
        <v>386092200</v>
      </c>
      <c r="P63" s="40">
        <v>10259500</v>
      </c>
      <c r="Q63" s="40">
        <v>322978736.39999998</v>
      </c>
      <c r="R63" s="41">
        <v>0</v>
      </c>
    </row>
    <row r="64" spans="3:30" ht="33" x14ac:dyDescent="0.2">
      <c r="C64" s="42" t="s">
        <v>157</v>
      </c>
      <c r="D64" s="36" t="s">
        <v>158</v>
      </c>
      <c r="E64" s="43">
        <v>54896308</v>
      </c>
      <c r="F64" s="43">
        <v>54896308</v>
      </c>
      <c r="G64" s="44">
        <v>0</v>
      </c>
      <c r="H64" s="43">
        <v>4661651</v>
      </c>
      <c r="I64" s="43">
        <v>4378350.5999999996</v>
      </c>
      <c r="J64" s="43">
        <v>200000</v>
      </c>
      <c r="K64" s="43">
        <v>2875350.6</v>
      </c>
      <c r="L64" s="43">
        <v>4249700.5999999996</v>
      </c>
      <c r="M64" s="43">
        <v>17756701.399999999</v>
      </c>
      <c r="N64" s="43">
        <v>8213252</v>
      </c>
      <c r="O64" s="43">
        <v>3828350.6</v>
      </c>
      <c r="P64" s="43">
        <v>4593850.5999999996</v>
      </c>
      <c r="Q64" s="43">
        <v>4139100.6</v>
      </c>
      <c r="R64" s="44">
        <v>0</v>
      </c>
    </row>
    <row r="65" spans="3:18" ht="24.75" x14ac:dyDescent="0.2">
      <c r="C65" s="47">
        <v>38355</v>
      </c>
      <c r="D65" s="36" t="s">
        <v>159</v>
      </c>
      <c r="E65" s="38">
        <v>555219824</v>
      </c>
      <c r="F65" s="38">
        <v>555219824</v>
      </c>
      <c r="G65" s="45">
        <v>0</v>
      </c>
      <c r="H65" s="38">
        <v>14252544.6</v>
      </c>
      <c r="I65" s="38">
        <v>35080100.600000001</v>
      </c>
      <c r="J65" s="38">
        <v>27831750</v>
      </c>
      <c r="K65" s="38">
        <v>32007850.600000001</v>
      </c>
      <c r="L65" s="38">
        <v>25025100.600000001</v>
      </c>
      <c r="M65" s="38">
        <v>39618451.200000003</v>
      </c>
      <c r="N65" s="38">
        <v>273423600.60000002</v>
      </c>
      <c r="O65" s="38">
        <v>27365100.600000001</v>
      </c>
      <c r="P65" s="38">
        <v>32384074.600000001</v>
      </c>
      <c r="Q65" s="38">
        <v>28604500.600000001</v>
      </c>
      <c r="R65" s="38">
        <v>19626750</v>
      </c>
    </row>
    <row r="66" spans="3:18" ht="24.75" x14ac:dyDescent="0.2">
      <c r="C66" s="32" t="s">
        <v>160</v>
      </c>
      <c r="D66" s="36" t="s">
        <v>161</v>
      </c>
      <c r="E66" s="33">
        <v>555219824</v>
      </c>
      <c r="F66" s="33">
        <v>555219824</v>
      </c>
      <c r="G66" s="46">
        <v>0</v>
      </c>
      <c r="H66" s="33">
        <v>14252544.6</v>
      </c>
      <c r="I66" s="33">
        <v>35080100.600000001</v>
      </c>
      <c r="J66" s="33">
        <v>27831750</v>
      </c>
      <c r="K66" s="33">
        <v>32007850.600000001</v>
      </c>
      <c r="L66" s="33">
        <v>25025100.600000001</v>
      </c>
      <c r="M66" s="33">
        <v>39618451.200000003</v>
      </c>
      <c r="N66" s="33">
        <v>273423600.60000002</v>
      </c>
      <c r="O66" s="33">
        <v>27365100.600000001</v>
      </c>
      <c r="P66" s="33">
        <v>32384074.600000001</v>
      </c>
      <c r="Q66" s="33">
        <v>28604500.600000001</v>
      </c>
      <c r="R66" s="33">
        <v>19626750</v>
      </c>
    </row>
    <row r="67" spans="3:18" ht="24.75" x14ac:dyDescent="0.2">
      <c r="C67" s="39" t="s">
        <v>162</v>
      </c>
      <c r="D67" s="36" t="s">
        <v>163</v>
      </c>
      <c r="E67" s="40">
        <v>267304194</v>
      </c>
      <c r="F67" s="40">
        <v>267304194</v>
      </c>
      <c r="G67" s="41">
        <v>0</v>
      </c>
      <c r="H67" s="40">
        <v>4604594</v>
      </c>
      <c r="I67" s="40">
        <v>1790000</v>
      </c>
      <c r="J67" s="40">
        <v>3590000</v>
      </c>
      <c r="K67" s="40">
        <v>3020000</v>
      </c>
      <c r="L67" s="40">
        <v>3090000</v>
      </c>
      <c r="M67" s="40">
        <v>3090000</v>
      </c>
      <c r="N67" s="40">
        <v>239865200</v>
      </c>
      <c r="O67" s="40">
        <v>1790000</v>
      </c>
      <c r="P67" s="40">
        <v>2790000</v>
      </c>
      <c r="Q67" s="40">
        <v>3674400</v>
      </c>
      <c r="R67" s="41">
        <v>0</v>
      </c>
    </row>
    <row r="68" spans="3:18" ht="24.75" x14ac:dyDescent="0.2">
      <c r="C68" s="42" t="s">
        <v>164</v>
      </c>
      <c r="D68" s="39" t="s">
        <v>165</v>
      </c>
      <c r="E68" s="43">
        <v>39385724</v>
      </c>
      <c r="F68" s="43">
        <v>39385724</v>
      </c>
      <c r="G68" s="44">
        <v>0</v>
      </c>
      <c r="H68" s="43">
        <v>5141600</v>
      </c>
      <c r="I68" s="43">
        <v>2385000</v>
      </c>
      <c r="J68" s="43">
        <v>1520000</v>
      </c>
      <c r="K68" s="43">
        <v>6632000</v>
      </c>
      <c r="L68" s="44">
        <v>0</v>
      </c>
      <c r="M68" s="43">
        <v>10520000</v>
      </c>
      <c r="N68" s="43">
        <v>6485400</v>
      </c>
      <c r="O68" s="43">
        <v>2120000</v>
      </c>
      <c r="P68" s="43">
        <v>4381724</v>
      </c>
      <c r="Q68" s="43">
        <v>200000</v>
      </c>
      <c r="R68" s="44">
        <v>0</v>
      </c>
    </row>
    <row r="69" spans="3:18" ht="33" x14ac:dyDescent="0.2">
      <c r="C69" s="42" t="s">
        <v>166</v>
      </c>
      <c r="D69" s="36" t="s">
        <v>167</v>
      </c>
      <c r="E69" s="43">
        <v>248529906</v>
      </c>
      <c r="F69" s="43">
        <v>248529906</v>
      </c>
      <c r="G69" s="44">
        <v>0</v>
      </c>
      <c r="H69" s="43">
        <v>4506350.5999999996</v>
      </c>
      <c r="I69" s="43">
        <v>30905100.600000001</v>
      </c>
      <c r="J69" s="43">
        <v>22721750</v>
      </c>
      <c r="K69" s="43">
        <v>22355850.600000001</v>
      </c>
      <c r="L69" s="43">
        <v>21935100.600000001</v>
      </c>
      <c r="M69" s="43">
        <v>26008451.199999999</v>
      </c>
      <c r="N69" s="43">
        <v>27073000.600000001</v>
      </c>
      <c r="O69" s="43">
        <v>23455100.600000001</v>
      </c>
      <c r="P69" s="43">
        <v>25212350.600000001</v>
      </c>
      <c r="Q69" s="43">
        <v>24730100.600000001</v>
      </c>
      <c r="R69" s="43">
        <v>19626750</v>
      </c>
    </row>
    <row r="70" spans="3:18" ht="24.75" x14ac:dyDescent="0.2">
      <c r="C70" s="34">
        <v>38720</v>
      </c>
      <c r="D70" s="36" t="s">
        <v>168</v>
      </c>
      <c r="E70" s="33">
        <v>1000000</v>
      </c>
      <c r="F70" s="33">
        <v>1000000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33">
        <v>1000000</v>
      </c>
      <c r="Q70" s="46">
        <v>0</v>
      </c>
      <c r="R70" s="46">
        <v>0</v>
      </c>
    </row>
    <row r="71" spans="3:18" ht="49.5" x14ac:dyDescent="0.2">
      <c r="C71" s="37" t="s">
        <v>169</v>
      </c>
      <c r="D71" s="36" t="s">
        <v>170</v>
      </c>
      <c r="E71" s="38">
        <v>1000000</v>
      </c>
      <c r="F71" s="38">
        <v>1000000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38">
        <v>1000000</v>
      </c>
      <c r="Q71" s="45">
        <v>0</v>
      </c>
      <c r="R71" s="45">
        <v>0</v>
      </c>
    </row>
    <row r="72" spans="3:18" ht="16.5" x14ac:dyDescent="0.2">
      <c r="C72" s="42" t="s">
        <v>171</v>
      </c>
      <c r="D72" s="36" t="s">
        <v>172</v>
      </c>
      <c r="E72" s="43">
        <v>1000000</v>
      </c>
      <c r="F72" s="43">
        <v>1000000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3">
        <v>1000000</v>
      </c>
      <c r="Q72" s="44">
        <v>0</v>
      </c>
      <c r="R72" s="44">
        <v>0</v>
      </c>
    </row>
    <row r="73" spans="3:18" ht="24.75" x14ac:dyDescent="0.2">
      <c r="C73" s="34">
        <v>39450</v>
      </c>
      <c r="D73" s="36" t="s">
        <v>173</v>
      </c>
      <c r="E73" s="33">
        <v>13812203412</v>
      </c>
      <c r="F73" s="33">
        <v>13812203412</v>
      </c>
      <c r="G73" s="33">
        <v>31577482</v>
      </c>
      <c r="H73" s="33">
        <v>353867482</v>
      </c>
      <c r="I73" s="33">
        <v>338423392</v>
      </c>
      <c r="J73" s="33">
        <v>3658989282</v>
      </c>
      <c r="K73" s="33">
        <v>237115482</v>
      </c>
      <c r="L73" s="33">
        <v>1183551482</v>
      </c>
      <c r="M73" s="33">
        <v>2187436725</v>
      </c>
      <c r="N73" s="33">
        <v>3042095482</v>
      </c>
      <c r="O73" s="33">
        <v>913975882</v>
      </c>
      <c r="P73" s="33">
        <v>1827518176</v>
      </c>
      <c r="Q73" s="33">
        <v>31910269</v>
      </c>
      <c r="R73" s="33">
        <v>5742276</v>
      </c>
    </row>
    <row r="74" spans="3:18" ht="33" x14ac:dyDescent="0.2">
      <c r="C74" s="32" t="s">
        <v>174</v>
      </c>
      <c r="D74" s="36" t="s">
        <v>175</v>
      </c>
      <c r="E74" s="33">
        <v>13812203412</v>
      </c>
      <c r="F74" s="33">
        <v>13812203412</v>
      </c>
      <c r="G74" s="33">
        <v>31577482</v>
      </c>
      <c r="H74" s="33">
        <v>353867482</v>
      </c>
      <c r="I74" s="33">
        <v>338423392</v>
      </c>
      <c r="J74" s="33">
        <v>3658989282</v>
      </c>
      <c r="K74" s="33">
        <v>237115482</v>
      </c>
      <c r="L74" s="33">
        <v>1183551482</v>
      </c>
      <c r="M74" s="33">
        <v>2187436725</v>
      </c>
      <c r="N74" s="33">
        <v>3042095482</v>
      </c>
      <c r="O74" s="33">
        <v>913975882</v>
      </c>
      <c r="P74" s="33">
        <v>1827518176</v>
      </c>
      <c r="Q74" s="33">
        <v>31910269</v>
      </c>
      <c r="R74" s="33">
        <v>5742276</v>
      </c>
    </row>
    <row r="75" spans="3:18" ht="24.75" x14ac:dyDescent="0.2">
      <c r="C75" s="39" t="s">
        <v>176</v>
      </c>
      <c r="D75" s="36" t="s">
        <v>177</v>
      </c>
      <c r="E75" s="40">
        <v>111510930</v>
      </c>
      <c r="F75" s="40">
        <v>111510930</v>
      </c>
      <c r="G75" s="40">
        <v>2970000</v>
      </c>
      <c r="H75" s="40">
        <v>4970000</v>
      </c>
      <c r="I75" s="40">
        <v>4720000</v>
      </c>
      <c r="J75" s="40">
        <v>7714000</v>
      </c>
      <c r="K75" s="40">
        <v>7864000</v>
      </c>
      <c r="L75" s="40">
        <v>8514000</v>
      </c>
      <c r="M75" s="40">
        <v>27614000</v>
      </c>
      <c r="N75" s="40">
        <v>11308000</v>
      </c>
      <c r="O75" s="40">
        <v>13358000</v>
      </c>
      <c r="P75" s="40">
        <v>9828500</v>
      </c>
      <c r="Q75" s="40">
        <v>8630430</v>
      </c>
      <c r="R75" s="40">
        <v>4020000</v>
      </c>
    </row>
    <row r="76" spans="3:18" x14ac:dyDescent="0.2">
      <c r="C76" s="39" t="s">
        <v>178</v>
      </c>
      <c r="D76" s="39" t="s">
        <v>179</v>
      </c>
      <c r="E76" s="40">
        <v>47275185</v>
      </c>
      <c r="F76" s="40">
        <v>47275185</v>
      </c>
      <c r="G76" s="41">
        <v>0</v>
      </c>
      <c r="H76" s="40">
        <v>750000</v>
      </c>
      <c r="I76" s="40">
        <v>3440000</v>
      </c>
      <c r="J76" s="40">
        <v>3390000</v>
      </c>
      <c r="K76" s="40">
        <v>1890000</v>
      </c>
      <c r="L76" s="40">
        <v>3640000</v>
      </c>
      <c r="M76" s="40">
        <v>10160000</v>
      </c>
      <c r="N76" s="40">
        <v>6660000</v>
      </c>
      <c r="O76" s="40">
        <v>6822300</v>
      </c>
      <c r="P76" s="40">
        <v>6613000</v>
      </c>
      <c r="Q76" s="40">
        <v>3909885</v>
      </c>
      <c r="R76" s="41">
        <v>0</v>
      </c>
    </row>
    <row r="77" spans="3:18" x14ac:dyDescent="0.2">
      <c r="C77" s="57" t="s">
        <v>52</v>
      </c>
      <c r="D77" s="60" t="s">
        <v>53</v>
      </c>
      <c r="E77" s="63" t="s">
        <v>54</v>
      </c>
      <c r="F77" s="66" t="s">
        <v>55</v>
      </c>
      <c r="G77" s="69" t="s">
        <v>56</v>
      </c>
      <c r="H77" s="70"/>
      <c r="I77" s="70"/>
      <c r="J77" s="70"/>
      <c r="K77" s="70"/>
      <c r="L77" s="71"/>
      <c r="M77" s="69" t="s">
        <v>57</v>
      </c>
      <c r="N77" s="70"/>
      <c r="O77" s="70"/>
      <c r="P77" s="70"/>
      <c r="Q77" s="70"/>
      <c r="R77" s="71"/>
    </row>
    <row r="78" spans="3:18" x14ac:dyDescent="0.2">
      <c r="C78" s="58"/>
      <c r="D78" s="61"/>
      <c r="E78" s="64"/>
      <c r="F78" s="67"/>
      <c r="G78" s="69" t="s">
        <v>58</v>
      </c>
      <c r="H78" s="70"/>
      <c r="I78" s="71"/>
      <c r="J78" s="69" t="s">
        <v>59</v>
      </c>
      <c r="K78" s="70"/>
      <c r="L78" s="71"/>
      <c r="M78" s="69" t="s">
        <v>60</v>
      </c>
      <c r="N78" s="70"/>
      <c r="O78" s="71"/>
      <c r="P78" s="69" t="s">
        <v>61</v>
      </c>
      <c r="Q78" s="70"/>
      <c r="R78" s="71"/>
    </row>
    <row r="79" spans="3:18" x14ac:dyDescent="0.2">
      <c r="C79" s="59"/>
      <c r="D79" s="62"/>
      <c r="E79" s="65"/>
      <c r="F79" s="68"/>
      <c r="G79" s="28" t="s">
        <v>62</v>
      </c>
      <c r="H79" s="28" t="s">
        <v>63</v>
      </c>
      <c r="I79" s="29" t="s">
        <v>64</v>
      </c>
      <c r="J79" s="29" t="s">
        <v>65</v>
      </c>
      <c r="K79" s="29" t="s">
        <v>66</v>
      </c>
      <c r="L79" s="29" t="s">
        <v>67</v>
      </c>
      <c r="M79" s="29" t="s">
        <v>68</v>
      </c>
      <c r="N79" s="28" t="s">
        <v>69</v>
      </c>
      <c r="O79" s="28" t="s">
        <v>70</v>
      </c>
      <c r="P79" s="28" t="s">
        <v>71</v>
      </c>
      <c r="Q79" s="28" t="s">
        <v>72</v>
      </c>
      <c r="R79" s="28" t="s">
        <v>73</v>
      </c>
    </row>
    <row r="80" spans="3:18" ht="16.5" x14ac:dyDescent="0.2">
      <c r="C80" s="42" t="s">
        <v>180</v>
      </c>
      <c r="D80" s="39" t="s">
        <v>181</v>
      </c>
      <c r="E80" s="43">
        <v>7756548327</v>
      </c>
      <c r="F80" s="43">
        <v>7756548327</v>
      </c>
      <c r="G80" s="43">
        <v>2000000</v>
      </c>
      <c r="H80" s="43">
        <v>5000000</v>
      </c>
      <c r="I80" s="43">
        <v>30000000</v>
      </c>
      <c r="J80" s="43">
        <v>2400000000</v>
      </c>
      <c r="K80" s="43">
        <v>10000000</v>
      </c>
      <c r="L80" s="43">
        <v>1000000000</v>
      </c>
      <c r="M80" s="43">
        <v>1110000000</v>
      </c>
      <c r="N80" s="43">
        <v>1900000000</v>
      </c>
      <c r="O80" s="43">
        <v>10000000</v>
      </c>
      <c r="P80" s="43">
        <v>1289548327</v>
      </c>
      <c r="Q80" s="44">
        <v>0</v>
      </c>
      <c r="R80" s="44">
        <v>0</v>
      </c>
    </row>
    <row r="81" spans="3:18" ht="33" x14ac:dyDescent="0.2">
      <c r="C81" s="42" t="s">
        <v>182</v>
      </c>
      <c r="D81" s="36" t="s">
        <v>183</v>
      </c>
      <c r="E81" s="43">
        <v>5896868970</v>
      </c>
      <c r="F81" s="43">
        <v>5896868970</v>
      </c>
      <c r="G81" s="43">
        <v>26607482</v>
      </c>
      <c r="H81" s="43">
        <v>343147482</v>
      </c>
      <c r="I81" s="43">
        <v>300263392</v>
      </c>
      <c r="J81" s="43">
        <v>1247885282</v>
      </c>
      <c r="K81" s="43">
        <v>217361482</v>
      </c>
      <c r="L81" s="43">
        <v>171397482</v>
      </c>
      <c r="M81" s="43">
        <v>1039662725</v>
      </c>
      <c r="N81" s="43">
        <v>1124127482</v>
      </c>
      <c r="O81" s="43">
        <v>883795582</v>
      </c>
      <c r="P81" s="43">
        <v>521528349</v>
      </c>
      <c r="Q81" s="43">
        <v>19369954</v>
      </c>
      <c r="R81" s="43">
        <v>1722276</v>
      </c>
    </row>
    <row r="82" spans="3:18" ht="24.75" x14ac:dyDescent="0.2">
      <c r="C82" s="34">
        <v>39816</v>
      </c>
      <c r="D82" s="36" t="s">
        <v>184</v>
      </c>
      <c r="E82" s="33">
        <v>475407405</v>
      </c>
      <c r="F82" s="33">
        <v>475407405</v>
      </c>
      <c r="G82" s="33">
        <v>29171170</v>
      </c>
      <c r="H82" s="33">
        <v>36251040</v>
      </c>
      <c r="I82" s="33">
        <v>63198777</v>
      </c>
      <c r="J82" s="33">
        <v>36251040</v>
      </c>
      <c r="K82" s="33">
        <v>36251040</v>
      </c>
      <c r="L82" s="33">
        <v>63198777</v>
      </c>
      <c r="M82" s="33">
        <v>36251040</v>
      </c>
      <c r="N82" s="33">
        <v>36251040</v>
      </c>
      <c r="O82" s="33">
        <v>36251040</v>
      </c>
      <c r="P82" s="33">
        <v>36251040</v>
      </c>
      <c r="Q82" s="33">
        <v>36251040</v>
      </c>
      <c r="R82" s="33">
        <v>29830361</v>
      </c>
    </row>
    <row r="83" spans="3:18" ht="41.25" x14ac:dyDescent="0.2">
      <c r="C83" s="37" t="s">
        <v>185</v>
      </c>
      <c r="D83" s="36" t="s">
        <v>186</v>
      </c>
      <c r="E83" s="38">
        <v>475407405</v>
      </c>
      <c r="F83" s="38">
        <v>475407405</v>
      </c>
      <c r="G83" s="38">
        <v>29171170</v>
      </c>
      <c r="H83" s="38">
        <v>36251040</v>
      </c>
      <c r="I83" s="38">
        <v>63198777</v>
      </c>
      <c r="J83" s="38">
        <v>36251040</v>
      </c>
      <c r="K83" s="38">
        <v>36251040</v>
      </c>
      <c r="L83" s="38">
        <v>63198777</v>
      </c>
      <c r="M83" s="38">
        <v>36251040</v>
      </c>
      <c r="N83" s="38">
        <v>36251040</v>
      </c>
      <c r="O83" s="38">
        <v>36251040</v>
      </c>
      <c r="P83" s="38">
        <v>36251040</v>
      </c>
      <c r="Q83" s="38">
        <v>36251040</v>
      </c>
      <c r="R83" s="38">
        <v>29830361</v>
      </c>
    </row>
    <row r="84" spans="3:18" ht="24.75" x14ac:dyDescent="0.2">
      <c r="C84" s="39" t="s">
        <v>187</v>
      </c>
      <c r="D84" s="36" t="s">
        <v>188</v>
      </c>
      <c r="E84" s="40">
        <v>475407405</v>
      </c>
      <c r="F84" s="40">
        <v>475407405</v>
      </c>
      <c r="G84" s="40">
        <v>29171170</v>
      </c>
      <c r="H84" s="40">
        <v>36251040</v>
      </c>
      <c r="I84" s="40">
        <v>63198777</v>
      </c>
      <c r="J84" s="40">
        <v>36251040</v>
      </c>
      <c r="K84" s="40">
        <v>36251040</v>
      </c>
      <c r="L84" s="40">
        <v>63198777</v>
      </c>
      <c r="M84" s="40">
        <v>36251040</v>
      </c>
      <c r="N84" s="40">
        <v>36251040</v>
      </c>
      <c r="O84" s="40">
        <v>36251040</v>
      </c>
      <c r="P84" s="40">
        <v>36251040</v>
      </c>
      <c r="Q84" s="40">
        <v>36251040</v>
      </c>
      <c r="R84" s="40">
        <v>29830361</v>
      </c>
    </row>
    <row r="85" spans="3:18" ht="24.75" x14ac:dyDescent="0.2">
      <c r="C85" s="34">
        <v>40181</v>
      </c>
      <c r="D85" s="36" t="s">
        <v>189</v>
      </c>
      <c r="E85" s="33">
        <v>107693826663</v>
      </c>
      <c r="F85" s="33">
        <v>107693826663</v>
      </c>
      <c r="G85" s="33">
        <v>189684581</v>
      </c>
      <c r="H85" s="33">
        <v>544391844.39999998</v>
      </c>
      <c r="I85" s="33">
        <v>6046903734.1000004</v>
      </c>
      <c r="J85" s="33">
        <v>13601437795.799999</v>
      </c>
      <c r="K85" s="33">
        <v>9620997873.2000008</v>
      </c>
      <c r="L85" s="33">
        <v>10565636552.549999</v>
      </c>
      <c r="M85" s="33">
        <v>28783237672.959999</v>
      </c>
      <c r="N85" s="33">
        <v>20676348133.740002</v>
      </c>
      <c r="O85" s="33">
        <v>11041394892.4</v>
      </c>
      <c r="P85" s="33">
        <v>4860022116.6000004</v>
      </c>
      <c r="Q85" s="33">
        <v>1547833876.25</v>
      </c>
      <c r="R85" s="33">
        <v>215937590</v>
      </c>
    </row>
    <row r="86" spans="3:18" x14ac:dyDescent="0.2">
      <c r="C86" s="32" t="s">
        <v>190</v>
      </c>
      <c r="D86" s="32" t="s">
        <v>191</v>
      </c>
      <c r="E86" s="33">
        <v>107693826663</v>
      </c>
      <c r="F86" s="33">
        <v>107693826663</v>
      </c>
      <c r="G86" s="33">
        <v>189684581</v>
      </c>
      <c r="H86" s="33">
        <v>544391844.39999998</v>
      </c>
      <c r="I86" s="33">
        <v>6046903734.1000004</v>
      </c>
      <c r="J86" s="33">
        <v>13601437795.799999</v>
      </c>
      <c r="K86" s="33">
        <v>9620997873.2000008</v>
      </c>
      <c r="L86" s="33">
        <v>10565636552.549999</v>
      </c>
      <c r="M86" s="33">
        <v>28783237672.959999</v>
      </c>
      <c r="N86" s="33">
        <v>20676348133.740002</v>
      </c>
      <c r="O86" s="33">
        <v>11041394892.4</v>
      </c>
      <c r="P86" s="33">
        <v>4860022116.6000004</v>
      </c>
      <c r="Q86" s="33">
        <v>1547833876.25</v>
      </c>
      <c r="R86" s="33">
        <v>215937590</v>
      </c>
    </row>
    <row r="87" spans="3:18" x14ac:dyDescent="0.2">
      <c r="C87" s="39" t="s">
        <v>192</v>
      </c>
      <c r="D87" s="39" t="s">
        <v>193</v>
      </c>
      <c r="E87" s="40">
        <v>23159848406</v>
      </c>
      <c r="F87" s="40">
        <v>23159848406</v>
      </c>
      <c r="G87" s="41">
        <v>0</v>
      </c>
      <c r="H87" s="40">
        <v>65744250</v>
      </c>
      <c r="I87" s="40">
        <v>83645350</v>
      </c>
      <c r="J87" s="40">
        <v>4223092231.5</v>
      </c>
      <c r="K87" s="40">
        <v>2184276334.5</v>
      </c>
      <c r="L87" s="40">
        <v>2325777975.5999999</v>
      </c>
      <c r="M87" s="40">
        <v>5195687393</v>
      </c>
      <c r="N87" s="40">
        <v>3788978338</v>
      </c>
      <c r="O87" s="40">
        <v>3252714420.5999999</v>
      </c>
      <c r="P87" s="40">
        <v>1623693115.8</v>
      </c>
      <c r="Q87" s="40">
        <v>416238997</v>
      </c>
      <c r="R87" s="41">
        <v>0</v>
      </c>
    </row>
    <row r="88" spans="3:18" x14ac:dyDescent="0.2">
      <c r="C88" s="39" t="s">
        <v>194</v>
      </c>
      <c r="D88" s="39" t="s">
        <v>195</v>
      </c>
      <c r="E88" s="40">
        <v>22891198240</v>
      </c>
      <c r="F88" s="40">
        <v>22891198240</v>
      </c>
      <c r="G88" s="41">
        <v>0</v>
      </c>
      <c r="H88" s="40">
        <v>21149297.5</v>
      </c>
      <c r="I88" s="40">
        <v>21149297.5</v>
      </c>
      <c r="J88" s="40">
        <v>3961671319.8000002</v>
      </c>
      <c r="K88" s="40">
        <v>392586298.19999999</v>
      </c>
      <c r="L88" s="40">
        <v>1163769116.2</v>
      </c>
      <c r="M88" s="40">
        <v>8808416141.9599991</v>
      </c>
      <c r="N88" s="40">
        <v>5369285783.7399998</v>
      </c>
      <c r="O88" s="40">
        <v>1407391112.55</v>
      </c>
      <c r="P88" s="40">
        <v>1480775802.55</v>
      </c>
      <c r="Q88" s="40">
        <v>180406880</v>
      </c>
      <c r="R88" s="40">
        <v>84597190</v>
      </c>
    </row>
    <row r="89" spans="3:18" x14ac:dyDescent="0.2">
      <c r="C89" s="39" t="s">
        <v>196</v>
      </c>
      <c r="D89" s="39" t="s">
        <v>197</v>
      </c>
      <c r="E89" s="40">
        <v>4413080000</v>
      </c>
      <c r="F89" s="40">
        <v>4413080000</v>
      </c>
      <c r="G89" s="41">
        <v>0</v>
      </c>
      <c r="H89" s="40">
        <v>7500000</v>
      </c>
      <c r="I89" s="40">
        <v>871003039</v>
      </c>
      <c r="J89" s="40">
        <v>430920390</v>
      </c>
      <c r="K89" s="40">
        <v>441862290</v>
      </c>
      <c r="L89" s="40">
        <v>876840780</v>
      </c>
      <c r="M89" s="40">
        <v>880140780</v>
      </c>
      <c r="N89" s="40">
        <v>887736621</v>
      </c>
      <c r="O89" s="40">
        <v>9000000</v>
      </c>
      <c r="P89" s="40">
        <v>3500000</v>
      </c>
      <c r="Q89" s="40">
        <v>3000000</v>
      </c>
      <c r="R89" s="40">
        <v>1576100</v>
      </c>
    </row>
    <row r="90" spans="3:18" ht="33" x14ac:dyDescent="0.2">
      <c r="C90" s="42" t="s">
        <v>198</v>
      </c>
      <c r="D90" s="36" t="s">
        <v>199</v>
      </c>
      <c r="E90" s="43">
        <v>7922694362</v>
      </c>
      <c r="F90" s="43">
        <v>7922694362</v>
      </c>
      <c r="G90" s="43">
        <v>106989062</v>
      </c>
      <c r="H90" s="43">
        <v>303432730</v>
      </c>
      <c r="I90" s="43">
        <v>592455156</v>
      </c>
      <c r="J90" s="43">
        <v>923538324</v>
      </c>
      <c r="K90" s="43">
        <v>480498134</v>
      </c>
      <c r="L90" s="43">
        <v>810915785</v>
      </c>
      <c r="M90" s="43">
        <v>1758060751</v>
      </c>
      <c r="N90" s="43">
        <v>598906512</v>
      </c>
      <c r="O90" s="43">
        <v>1176894612</v>
      </c>
      <c r="P90" s="43">
        <v>181989062</v>
      </c>
      <c r="Q90" s="43">
        <v>882025172</v>
      </c>
      <c r="R90" s="43">
        <v>106989062</v>
      </c>
    </row>
    <row r="91" spans="3:18" x14ac:dyDescent="0.2">
      <c r="C91" s="39" t="s">
        <v>200</v>
      </c>
      <c r="D91" s="39" t="s">
        <v>201</v>
      </c>
      <c r="E91" s="40">
        <v>1067325028</v>
      </c>
      <c r="F91" s="40">
        <v>1067325028</v>
      </c>
      <c r="G91" s="41">
        <v>0</v>
      </c>
      <c r="H91" s="40">
        <v>8966900.5600000005</v>
      </c>
      <c r="I91" s="40">
        <v>3348602.24</v>
      </c>
      <c r="J91" s="40">
        <v>4185752.8</v>
      </c>
      <c r="K91" s="40">
        <v>4185752.8</v>
      </c>
      <c r="L91" s="40">
        <v>309041029.19999999</v>
      </c>
      <c r="M91" s="40">
        <v>16501255.6</v>
      </c>
      <c r="N91" s="40">
        <v>210213105.59999999</v>
      </c>
      <c r="O91" s="40">
        <v>2092876.4</v>
      </c>
      <c r="P91" s="40">
        <v>506696876.39999998</v>
      </c>
      <c r="Q91" s="40">
        <v>2092876.4</v>
      </c>
      <c r="R91" s="41">
        <v>0</v>
      </c>
    </row>
    <row r="92" spans="3:18" x14ac:dyDescent="0.2">
      <c r="C92" s="39" t="s">
        <v>202</v>
      </c>
      <c r="D92" s="39" t="s">
        <v>203</v>
      </c>
      <c r="E92" s="40">
        <v>769177717</v>
      </c>
      <c r="F92" s="40">
        <v>769177717</v>
      </c>
      <c r="G92" s="41">
        <v>0</v>
      </c>
      <c r="H92" s="40">
        <v>5112070.34</v>
      </c>
      <c r="I92" s="40">
        <v>4499881.3600000003</v>
      </c>
      <c r="J92" s="40">
        <v>5624851.7000000002</v>
      </c>
      <c r="K92" s="40">
        <v>5624851.7000000002</v>
      </c>
      <c r="L92" s="40">
        <v>219923777.55000001</v>
      </c>
      <c r="M92" s="40">
        <v>15236803.4</v>
      </c>
      <c r="N92" s="40">
        <v>152240703.40000001</v>
      </c>
      <c r="O92" s="40">
        <v>2812425.85</v>
      </c>
      <c r="P92" s="40">
        <v>355289925.85000002</v>
      </c>
      <c r="Q92" s="40">
        <v>2812425.85</v>
      </c>
      <c r="R92" s="41">
        <v>0</v>
      </c>
    </row>
    <row r="93" spans="3:18" x14ac:dyDescent="0.2">
      <c r="C93" s="39" t="s">
        <v>204</v>
      </c>
      <c r="D93" s="39" t="s">
        <v>205</v>
      </c>
      <c r="E93" s="40">
        <v>3641350000</v>
      </c>
      <c r="F93" s="40">
        <v>3641350000</v>
      </c>
      <c r="G93" s="40">
        <v>13528150</v>
      </c>
      <c r="H93" s="40">
        <v>20292225</v>
      </c>
      <c r="I93" s="40">
        <v>725564370</v>
      </c>
      <c r="J93" s="40">
        <v>20292225</v>
      </c>
      <c r="K93" s="40">
        <v>195595650</v>
      </c>
      <c r="L93" s="40">
        <v>377663150</v>
      </c>
      <c r="M93" s="40">
        <v>532674350</v>
      </c>
      <c r="N93" s="40">
        <v>1229829605</v>
      </c>
      <c r="O93" s="40">
        <v>525910275</v>
      </c>
      <c r="P93" s="41">
        <v>0</v>
      </c>
      <c r="Q93" s="41">
        <v>0</v>
      </c>
      <c r="R93" s="41">
        <v>0</v>
      </c>
    </row>
    <row r="94" spans="3:18" x14ac:dyDescent="0.2">
      <c r="C94" s="39" t="s">
        <v>206</v>
      </c>
      <c r="D94" s="39" t="s">
        <v>207</v>
      </c>
      <c r="E94" s="40">
        <v>3141350000</v>
      </c>
      <c r="F94" s="40">
        <v>3141350000</v>
      </c>
      <c r="G94" s="40">
        <v>3273340</v>
      </c>
      <c r="H94" s="40">
        <v>6546680</v>
      </c>
      <c r="I94" s="40">
        <v>13093360</v>
      </c>
      <c r="J94" s="40">
        <v>628270000</v>
      </c>
      <c r="K94" s="40">
        <v>267020032</v>
      </c>
      <c r="L94" s="40">
        <v>267020032</v>
      </c>
      <c r="M94" s="40">
        <v>1946306536</v>
      </c>
      <c r="N94" s="40">
        <v>9820020</v>
      </c>
      <c r="O94" s="41">
        <v>0</v>
      </c>
      <c r="P94" s="41">
        <v>0</v>
      </c>
      <c r="Q94" s="41">
        <v>0</v>
      </c>
      <c r="R94" s="41">
        <v>0</v>
      </c>
    </row>
    <row r="95" spans="3:18" ht="16.5" x14ac:dyDescent="0.2">
      <c r="C95" s="39" t="s">
        <v>208</v>
      </c>
      <c r="D95" s="39" t="s">
        <v>209</v>
      </c>
      <c r="E95" s="40">
        <v>4628000000</v>
      </c>
      <c r="F95" s="40">
        <v>4628000000</v>
      </c>
      <c r="G95" s="40">
        <v>5000000</v>
      </c>
      <c r="H95" s="40">
        <v>12500000</v>
      </c>
      <c r="I95" s="40">
        <v>37500000</v>
      </c>
      <c r="J95" s="40">
        <v>1212900000</v>
      </c>
      <c r="K95" s="40">
        <v>294400000</v>
      </c>
      <c r="L95" s="40">
        <v>452050000</v>
      </c>
      <c r="M95" s="40">
        <v>1715350000</v>
      </c>
      <c r="N95" s="40">
        <v>365400000</v>
      </c>
      <c r="O95" s="40">
        <v>517900000</v>
      </c>
      <c r="P95" s="40">
        <v>7500000</v>
      </c>
      <c r="Q95" s="40">
        <v>5000000</v>
      </c>
      <c r="R95" s="40">
        <v>2500000</v>
      </c>
    </row>
    <row r="96" spans="3:18" x14ac:dyDescent="0.2">
      <c r="C96" s="39" t="s">
        <v>210</v>
      </c>
      <c r="D96" s="39" t="s">
        <v>211</v>
      </c>
      <c r="E96" s="40">
        <v>12732120000</v>
      </c>
      <c r="F96" s="40">
        <v>12732120000</v>
      </c>
      <c r="G96" s="40">
        <v>32655940</v>
      </c>
      <c r="H96" s="40">
        <v>48983910</v>
      </c>
      <c r="I96" s="40">
        <v>2539892812</v>
      </c>
      <c r="J96" s="40">
        <v>48983910</v>
      </c>
      <c r="K96" s="40">
        <v>669261940</v>
      </c>
      <c r="L96" s="40">
        <v>1305867940</v>
      </c>
      <c r="M96" s="40">
        <v>1877162060</v>
      </c>
      <c r="N96" s="40">
        <v>3728199368</v>
      </c>
      <c r="O96" s="40">
        <v>1860834090</v>
      </c>
      <c r="P96" s="40">
        <v>620278030</v>
      </c>
      <c r="Q96" s="41">
        <v>0</v>
      </c>
      <c r="R96" s="41">
        <v>0</v>
      </c>
    </row>
    <row r="97" spans="3:18" x14ac:dyDescent="0.2">
      <c r="C97" s="39" t="s">
        <v>212</v>
      </c>
      <c r="D97" s="39" t="s">
        <v>213</v>
      </c>
      <c r="E97" s="40">
        <v>23078780000</v>
      </c>
      <c r="F97" s="40">
        <v>23078780000</v>
      </c>
      <c r="G97" s="40">
        <v>7962846</v>
      </c>
      <c r="H97" s="40">
        <v>23888538</v>
      </c>
      <c r="I97" s="40">
        <v>1134476623</v>
      </c>
      <c r="J97" s="40">
        <v>2121683548</v>
      </c>
      <c r="K97" s="40">
        <v>4665211347</v>
      </c>
      <c r="L97" s="40">
        <v>2436491724</v>
      </c>
      <c r="M97" s="40">
        <v>6014826359</v>
      </c>
      <c r="N97" s="40">
        <v>4315262834</v>
      </c>
      <c r="O97" s="40">
        <v>2265569837</v>
      </c>
      <c r="P97" s="40">
        <v>57424061</v>
      </c>
      <c r="Q97" s="40">
        <v>35982283</v>
      </c>
      <c r="R97" s="41">
        <v>0</v>
      </c>
    </row>
    <row r="98" spans="3:18" ht="24.75" x14ac:dyDescent="0.2">
      <c r="C98" s="39" t="s">
        <v>214</v>
      </c>
      <c r="D98" s="36" t="s">
        <v>215</v>
      </c>
      <c r="E98" s="40">
        <v>248902910</v>
      </c>
      <c r="F98" s="40">
        <v>248902910</v>
      </c>
      <c r="G98" s="40">
        <v>20275243</v>
      </c>
      <c r="H98" s="40">
        <v>20275243</v>
      </c>
      <c r="I98" s="40">
        <v>20275243</v>
      </c>
      <c r="J98" s="40">
        <v>20275243</v>
      </c>
      <c r="K98" s="40">
        <v>20475243</v>
      </c>
      <c r="L98" s="40">
        <v>20275243</v>
      </c>
      <c r="M98" s="40">
        <v>22875243</v>
      </c>
      <c r="N98" s="40">
        <v>20475243</v>
      </c>
      <c r="O98" s="40">
        <v>20275243</v>
      </c>
      <c r="P98" s="40">
        <v>22875243</v>
      </c>
      <c r="Q98" s="40">
        <v>20275242</v>
      </c>
      <c r="R98" s="40">
        <v>20275238</v>
      </c>
    </row>
    <row r="99" spans="3:18" ht="24.75" x14ac:dyDescent="0.2">
      <c r="C99" s="47">
        <v>40911</v>
      </c>
      <c r="D99" s="36" t="s">
        <v>216</v>
      </c>
      <c r="E99" s="38">
        <v>822570633</v>
      </c>
      <c r="F99" s="38">
        <v>822570633</v>
      </c>
      <c r="G99" s="38">
        <v>18940220</v>
      </c>
      <c r="H99" s="38">
        <v>27744320</v>
      </c>
      <c r="I99" s="38">
        <v>56652692</v>
      </c>
      <c r="J99" s="38">
        <v>68350520</v>
      </c>
      <c r="K99" s="38">
        <v>84739556</v>
      </c>
      <c r="L99" s="38">
        <v>69866917</v>
      </c>
      <c r="M99" s="38">
        <v>161545185</v>
      </c>
      <c r="N99" s="38">
        <v>116035941</v>
      </c>
      <c r="O99" s="38">
        <v>86902445</v>
      </c>
      <c r="P99" s="38">
        <v>63411591</v>
      </c>
      <c r="Q99" s="38">
        <v>34568145</v>
      </c>
      <c r="R99" s="38">
        <v>33813101</v>
      </c>
    </row>
    <row r="100" spans="3:18" x14ac:dyDescent="0.2">
      <c r="C100" s="57" t="s">
        <v>52</v>
      </c>
      <c r="D100" s="60" t="s">
        <v>53</v>
      </c>
      <c r="E100" s="63" t="s">
        <v>54</v>
      </c>
      <c r="F100" s="66" t="s">
        <v>55</v>
      </c>
      <c r="G100" s="69" t="s">
        <v>56</v>
      </c>
      <c r="H100" s="70"/>
      <c r="I100" s="70"/>
      <c r="J100" s="70"/>
      <c r="K100" s="70"/>
      <c r="L100" s="71"/>
      <c r="M100" s="69" t="s">
        <v>57</v>
      </c>
      <c r="N100" s="70"/>
      <c r="O100" s="70"/>
      <c r="P100" s="70"/>
      <c r="Q100" s="70"/>
      <c r="R100" s="71"/>
    </row>
    <row r="101" spans="3:18" x14ac:dyDescent="0.2">
      <c r="C101" s="58"/>
      <c r="D101" s="61"/>
      <c r="E101" s="64"/>
      <c r="F101" s="67"/>
      <c r="G101" s="69" t="s">
        <v>58</v>
      </c>
      <c r="H101" s="70"/>
      <c r="I101" s="71"/>
      <c r="J101" s="69" t="s">
        <v>59</v>
      </c>
      <c r="K101" s="70"/>
      <c r="L101" s="71"/>
      <c r="M101" s="69" t="s">
        <v>60</v>
      </c>
      <c r="N101" s="70"/>
      <c r="O101" s="71"/>
      <c r="P101" s="69" t="s">
        <v>61</v>
      </c>
      <c r="Q101" s="70"/>
      <c r="R101" s="71"/>
    </row>
    <row r="102" spans="3:18" x14ac:dyDescent="0.2">
      <c r="C102" s="59"/>
      <c r="D102" s="62"/>
      <c r="E102" s="65"/>
      <c r="F102" s="68"/>
      <c r="G102" s="28" t="s">
        <v>62</v>
      </c>
      <c r="H102" s="28" t="s">
        <v>63</v>
      </c>
      <c r="I102" s="29" t="s">
        <v>64</v>
      </c>
      <c r="J102" s="29" t="s">
        <v>65</v>
      </c>
      <c r="K102" s="29" t="s">
        <v>66</v>
      </c>
      <c r="L102" s="29" t="s">
        <v>67</v>
      </c>
      <c r="M102" s="29" t="s">
        <v>68</v>
      </c>
      <c r="N102" s="28" t="s">
        <v>69</v>
      </c>
      <c r="O102" s="28" t="s">
        <v>70</v>
      </c>
      <c r="P102" s="28" t="s">
        <v>71</v>
      </c>
      <c r="Q102" s="28" t="s">
        <v>72</v>
      </c>
      <c r="R102" s="28" t="s">
        <v>73</v>
      </c>
    </row>
    <row r="103" spans="3:18" ht="24.75" x14ac:dyDescent="0.2">
      <c r="C103" s="37" t="s">
        <v>217</v>
      </c>
      <c r="D103" s="32" t="s">
        <v>218</v>
      </c>
      <c r="E103" s="38">
        <v>156410182</v>
      </c>
      <c r="F103" s="38">
        <v>156410182</v>
      </c>
      <c r="G103" s="38">
        <v>3130130</v>
      </c>
      <c r="H103" s="38">
        <v>5343930</v>
      </c>
      <c r="I103" s="38">
        <v>15842323</v>
      </c>
      <c r="J103" s="38">
        <v>6770130</v>
      </c>
      <c r="K103" s="38">
        <v>25021166</v>
      </c>
      <c r="L103" s="38">
        <v>6124323</v>
      </c>
      <c r="M103" s="38">
        <v>39100730</v>
      </c>
      <c r="N103" s="38">
        <v>15816930</v>
      </c>
      <c r="O103" s="38">
        <v>11350130</v>
      </c>
      <c r="P103" s="38">
        <v>10350130</v>
      </c>
      <c r="Q103" s="38">
        <v>9850130</v>
      </c>
      <c r="R103" s="38">
        <v>7710130</v>
      </c>
    </row>
    <row r="104" spans="3:18" ht="16.5" x14ac:dyDescent="0.2">
      <c r="C104" s="42" t="s">
        <v>219</v>
      </c>
      <c r="D104" s="36" t="s">
        <v>220</v>
      </c>
      <c r="E104" s="43">
        <v>156410182</v>
      </c>
      <c r="F104" s="43">
        <v>156410182</v>
      </c>
      <c r="G104" s="43">
        <v>3130130</v>
      </c>
      <c r="H104" s="43">
        <v>5343930</v>
      </c>
      <c r="I104" s="43">
        <v>15842323</v>
      </c>
      <c r="J104" s="43">
        <v>6770130</v>
      </c>
      <c r="K104" s="43">
        <v>25021166</v>
      </c>
      <c r="L104" s="43">
        <v>6124323</v>
      </c>
      <c r="M104" s="43">
        <v>39100730</v>
      </c>
      <c r="N104" s="43">
        <v>15816930</v>
      </c>
      <c r="O104" s="43">
        <v>11350130</v>
      </c>
      <c r="P104" s="43">
        <v>10350130</v>
      </c>
      <c r="Q104" s="43">
        <v>9850130</v>
      </c>
      <c r="R104" s="43">
        <v>7710130</v>
      </c>
    </row>
    <row r="105" spans="3:18" ht="16.5" x14ac:dyDescent="0.2">
      <c r="C105" s="32" t="s">
        <v>221</v>
      </c>
      <c r="D105" s="32" t="s">
        <v>222</v>
      </c>
      <c r="E105" s="33">
        <v>241918702</v>
      </c>
      <c r="F105" s="33">
        <v>241918702</v>
      </c>
      <c r="G105" s="33">
        <v>3130130</v>
      </c>
      <c r="H105" s="33">
        <v>4770130</v>
      </c>
      <c r="I105" s="33">
        <v>12024323</v>
      </c>
      <c r="J105" s="33">
        <v>14061130</v>
      </c>
      <c r="K105" s="33">
        <v>33081630</v>
      </c>
      <c r="L105" s="33">
        <v>29435448</v>
      </c>
      <c r="M105" s="33">
        <v>39372730</v>
      </c>
      <c r="N105" s="33">
        <v>44916630</v>
      </c>
      <c r="O105" s="33">
        <v>29015855</v>
      </c>
      <c r="P105" s="33">
        <v>6810230</v>
      </c>
      <c r="Q105" s="33">
        <v>11957755</v>
      </c>
      <c r="R105" s="33">
        <v>13342711</v>
      </c>
    </row>
    <row r="106" spans="3:18" ht="24.75" x14ac:dyDescent="0.2">
      <c r="C106" s="39" t="s">
        <v>223</v>
      </c>
      <c r="D106" s="36" t="s">
        <v>224</v>
      </c>
      <c r="E106" s="40">
        <v>241918702</v>
      </c>
      <c r="F106" s="40">
        <v>241918702</v>
      </c>
      <c r="G106" s="40">
        <v>3130130</v>
      </c>
      <c r="H106" s="40">
        <v>4770130</v>
      </c>
      <c r="I106" s="40">
        <v>12024323</v>
      </c>
      <c r="J106" s="40">
        <v>14061130</v>
      </c>
      <c r="K106" s="40">
        <v>33081630</v>
      </c>
      <c r="L106" s="40">
        <v>29435448</v>
      </c>
      <c r="M106" s="40">
        <v>39372730</v>
      </c>
      <c r="N106" s="40">
        <v>44916630</v>
      </c>
      <c r="O106" s="40">
        <v>29015855</v>
      </c>
      <c r="P106" s="40">
        <v>6810230</v>
      </c>
      <c r="Q106" s="40">
        <v>11957755</v>
      </c>
      <c r="R106" s="40">
        <v>13342711</v>
      </c>
    </row>
    <row r="107" spans="3:18" ht="24.75" x14ac:dyDescent="0.2">
      <c r="C107" s="32" t="s">
        <v>225</v>
      </c>
      <c r="D107" s="32" t="s">
        <v>226</v>
      </c>
      <c r="E107" s="33">
        <v>100000000</v>
      </c>
      <c r="F107" s="33">
        <v>100000000</v>
      </c>
      <c r="G107" s="46">
        <v>0</v>
      </c>
      <c r="H107" s="33">
        <v>6500000</v>
      </c>
      <c r="I107" s="33">
        <v>10320400</v>
      </c>
      <c r="J107" s="33">
        <v>8240000</v>
      </c>
      <c r="K107" s="33">
        <v>8240000</v>
      </c>
      <c r="L107" s="33">
        <v>6500000</v>
      </c>
      <c r="M107" s="33">
        <v>18680000</v>
      </c>
      <c r="N107" s="33">
        <v>11329100</v>
      </c>
      <c r="O107" s="33">
        <v>9248700</v>
      </c>
      <c r="P107" s="33">
        <v>7941800</v>
      </c>
      <c r="Q107" s="33">
        <v>6500000</v>
      </c>
      <c r="R107" s="33">
        <v>6500000</v>
      </c>
    </row>
    <row r="108" spans="3:18" ht="16.5" x14ac:dyDescent="0.2">
      <c r="C108" s="39" t="s">
        <v>227</v>
      </c>
      <c r="D108" s="36" t="s">
        <v>228</v>
      </c>
      <c r="E108" s="40">
        <v>100000000</v>
      </c>
      <c r="F108" s="40">
        <v>100000000</v>
      </c>
      <c r="G108" s="41">
        <v>0</v>
      </c>
      <c r="H108" s="40">
        <v>6500000</v>
      </c>
      <c r="I108" s="40">
        <v>10320400</v>
      </c>
      <c r="J108" s="40">
        <v>8240000</v>
      </c>
      <c r="K108" s="40">
        <v>8240000</v>
      </c>
      <c r="L108" s="40">
        <v>6500000</v>
      </c>
      <c r="M108" s="40">
        <v>18680000</v>
      </c>
      <c r="N108" s="40">
        <v>11329100</v>
      </c>
      <c r="O108" s="40">
        <v>9248700</v>
      </c>
      <c r="P108" s="40">
        <v>7941800</v>
      </c>
      <c r="Q108" s="40">
        <v>6500000</v>
      </c>
      <c r="R108" s="40">
        <v>6500000</v>
      </c>
    </row>
    <row r="109" spans="3:18" ht="24.75" x14ac:dyDescent="0.2">
      <c r="C109" s="32" t="s">
        <v>229</v>
      </c>
      <c r="D109" s="36" t="s">
        <v>230</v>
      </c>
      <c r="E109" s="33">
        <v>324241749</v>
      </c>
      <c r="F109" s="33">
        <v>324241749</v>
      </c>
      <c r="G109" s="33">
        <v>12679960</v>
      </c>
      <c r="H109" s="33">
        <v>11130260</v>
      </c>
      <c r="I109" s="33">
        <v>18465646</v>
      </c>
      <c r="J109" s="33">
        <v>39279260</v>
      </c>
      <c r="K109" s="33">
        <v>18396760</v>
      </c>
      <c r="L109" s="33">
        <v>27807146</v>
      </c>
      <c r="M109" s="33">
        <v>64391725</v>
      </c>
      <c r="N109" s="33">
        <v>43973281</v>
      </c>
      <c r="O109" s="33">
        <v>37287760</v>
      </c>
      <c r="P109" s="33">
        <v>38309431</v>
      </c>
      <c r="Q109" s="33">
        <v>6260260</v>
      </c>
      <c r="R109" s="33">
        <v>6260260</v>
      </c>
    </row>
    <row r="110" spans="3:18" ht="16.5" x14ac:dyDescent="0.2">
      <c r="C110" s="39" t="s">
        <v>231</v>
      </c>
      <c r="D110" s="36" t="s">
        <v>232</v>
      </c>
      <c r="E110" s="40">
        <v>114094267</v>
      </c>
      <c r="F110" s="40">
        <v>114094267</v>
      </c>
      <c r="G110" s="40">
        <v>3130130</v>
      </c>
      <c r="H110" s="40">
        <v>7500130</v>
      </c>
      <c r="I110" s="40">
        <v>6124323</v>
      </c>
      <c r="J110" s="40">
        <v>19603130</v>
      </c>
      <c r="K110" s="40">
        <v>3130130</v>
      </c>
      <c r="L110" s="40">
        <v>6124323</v>
      </c>
      <c r="M110" s="40">
        <v>19518430</v>
      </c>
      <c r="N110" s="40">
        <v>27575151</v>
      </c>
      <c r="O110" s="40">
        <v>3130130</v>
      </c>
      <c r="P110" s="40">
        <v>11998130</v>
      </c>
      <c r="Q110" s="40">
        <v>3130130</v>
      </c>
      <c r="R110" s="40">
        <v>3130130</v>
      </c>
    </row>
    <row r="111" spans="3:18" ht="16.5" x14ac:dyDescent="0.2">
      <c r="C111" s="42" t="s">
        <v>233</v>
      </c>
      <c r="D111" s="36" t="s">
        <v>234</v>
      </c>
      <c r="E111" s="43">
        <v>80566565</v>
      </c>
      <c r="F111" s="43">
        <v>80566565</v>
      </c>
      <c r="G111" s="44">
        <v>0</v>
      </c>
      <c r="H111" s="43">
        <v>500000</v>
      </c>
      <c r="I111" s="43">
        <v>3215000</v>
      </c>
      <c r="J111" s="43">
        <v>5415000</v>
      </c>
      <c r="K111" s="43">
        <v>12136500</v>
      </c>
      <c r="L111" s="43">
        <v>9058500</v>
      </c>
      <c r="M111" s="43">
        <v>17121565</v>
      </c>
      <c r="N111" s="43">
        <v>12168000</v>
      </c>
      <c r="O111" s="43">
        <v>9058500</v>
      </c>
      <c r="P111" s="43">
        <v>11893500</v>
      </c>
      <c r="Q111" s="44">
        <v>0</v>
      </c>
      <c r="R111" s="44">
        <v>0</v>
      </c>
    </row>
    <row r="112" spans="3:18" ht="16.5" x14ac:dyDescent="0.2">
      <c r="C112" s="39" t="s">
        <v>235</v>
      </c>
      <c r="D112" s="36" t="s">
        <v>236</v>
      </c>
      <c r="E112" s="40">
        <v>129580917</v>
      </c>
      <c r="F112" s="40">
        <v>129580917</v>
      </c>
      <c r="G112" s="40">
        <v>9549830</v>
      </c>
      <c r="H112" s="40">
        <v>3130130</v>
      </c>
      <c r="I112" s="40">
        <v>9126323</v>
      </c>
      <c r="J112" s="40">
        <v>14261130</v>
      </c>
      <c r="K112" s="40">
        <v>3130130</v>
      </c>
      <c r="L112" s="40">
        <v>12624323</v>
      </c>
      <c r="M112" s="40">
        <v>27751730</v>
      </c>
      <c r="N112" s="40">
        <v>4230130</v>
      </c>
      <c r="O112" s="40">
        <v>25099130</v>
      </c>
      <c r="P112" s="40">
        <v>14417801</v>
      </c>
      <c r="Q112" s="40">
        <v>3130130</v>
      </c>
      <c r="R112" s="40">
        <v>3130130</v>
      </c>
    </row>
    <row r="113" spans="2:18" ht="24.75" x14ac:dyDescent="0.2">
      <c r="C113" s="48" t="s">
        <v>289</v>
      </c>
      <c r="D113" s="35" t="s">
        <v>237</v>
      </c>
      <c r="E113" s="49">
        <v>338046636</v>
      </c>
      <c r="F113" s="49">
        <v>338046636</v>
      </c>
      <c r="G113" s="49">
        <v>12520520</v>
      </c>
      <c r="H113" s="49">
        <v>19484920</v>
      </c>
      <c r="I113" s="49">
        <v>26627692</v>
      </c>
      <c r="J113" s="49">
        <v>19169905</v>
      </c>
      <c r="K113" s="49">
        <v>15116213</v>
      </c>
      <c r="L113" s="49">
        <v>42214677</v>
      </c>
      <c r="M113" s="49">
        <v>125119234</v>
      </c>
      <c r="N113" s="49">
        <v>27081395</v>
      </c>
      <c r="O113" s="49">
        <v>12520520</v>
      </c>
      <c r="P113" s="49">
        <v>13150520</v>
      </c>
      <c r="Q113" s="49">
        <v>12520520</v>
      </c>
      <c r="R113" s="49">
        <v>12520520</v>
      </c>
    </row>
    <row r="114" spans="2:18" ht="24.75" x14ac:dyDescent="0.2">
      <c r="B114" s="2" t="s">
        <v>289</v>
      </c>
      <c r="C114" s="37" t="s">
        <v>84</v>
      </c>
      <c r="D114" s="32" t="s">
        <v>238</v>
      </c>
      <c r="E114" s="38">
        <v>338046636</v>
      </c>
      <c r="F114" s="38">
        <v>338046636</v>
      </c>
      <c r="G114" s="38">
        <v>12520520</v>
      </c>
      <c r="H114" s="38">
        <v>19484920</v>
      </c>
      <c r="I114" s="38">
        <v>26627692</v>
      </c>
      <c r="J114" s="38">
        <v>19169905</v>
      </c>
      <c r="K114" s="38">
        <v>15116213</v>
      </c>
      <c r="L114" s="38">
        <v>42214677</v>
      </c>
      <c r="M114" s="38">
        <v>125119234</v>
      </c>
      <c r="N114" s="38">
        <v>27081395</v>
      </c>
      <c r="O114" s="38">
        <v>12520520</v>
      </c>
      <c r="P114" s="38">
        <v>13150520</v>
      </c>
      <c r="Q114" s="38">
        <v>12520520</v>
      </c>
      <c r="R114" s="38">
        <v>12520520</v>
      </c>
    </row>
    <row r="115" spans="2:18" ht="33" x14ac:dyDescent="0.2">
      <c r="B115" t="s">
        <v>289</v>
      </c>
      <c r="C115" s="47">
        <v>36894</v>
      </c>
      <c r="D115" s="36" t="s">
        <v>39</v>
      </c>
      <c r="E115" s="38">
        <v>57090640</v>
      </c>
      <c r="F115" s="38">
        <v>57090640</v>
      </c>
      <c r="G115" s="45">
        <v>0</v>
      </c>
      <c r="H115" s="38">
        <v>3430400</v>
      </c>
      <c r="I115" s="38">
        <v>2130400</v>
      </c>
      <c r="J115" s="38">
        <v>6019385</v>
      </c>
      <c r="K115" s="38">
        <v>2595693</v>
      </c>
      <c r="L115" s="38">
        <v>4651385</v>
      </c>
      <c r="M115" s="38">
        <v>34271877</v>
      </c>
      <c r="N115" s="38">
        <v>3991500</v>
      </c>
      <c r="O115" s="45">
        <v>0</v>
      </c>
      <c r="P115" s="45">
        <v>0</v>
      </c>
      <c r="Q115" s="45">
        <v>0</v>
      </c>
      <c r="R115" s="45">
        <v>0</v>
      </c>
    </row>
    <row r="116" spans="2:18" ht="16.5" x14ac:dyDescent="0.2">
      <c r="B116" t="s">
        <v>289</v>
      </c>
      <c r="C116" s="32" t="s">
        <v>105</v>
      </c>
      <c r="D116" s="32" t="s">
        <v>42</v>
      </c>
      <c r="E116" s="33">
        <v>57090640</v>
      </c>
      <c r="F116" s="33">
        <v>57090640</v>
      </c>
      <c r="G116" s="46">
        <v>0</v>
      </c>
      <c r="H116" s="33">
        <v>3430400</v>
      </c>
      <c r="I116" s="33">
        <v>2130400</v>
      </c>
      <c r="J116" s="33">
        <v>6019385</v>
      </c>
      <c r="K116" s="33">
        <v>2595693</v>
      </c>
      <c r="L116" s="33">
        <v>4651385</v>
      </c>
      <c r="M116" s="33">
        <v>34271877</v>
      </c>
      <c r="N116" s="33">
        <v>3991500</v>
      </c>
      <c r="O116" s="46">
        <v>0</v>
      </c>
      <c r="P116" s="46">
        <v>0</v>
      </c>
      <c r="Q116" s="46">
        <v>0</v>
      </c>
      <c r="R116" s="46">
        <v>0</v>
      </c>
    </row>
    <row r="117" spans="2:18" x14ac:dyDescent="0.2">
      <c r="B117" t="s">
        <v>289</v>
      </c>
      <c r="C117" s="39" t="s">
        <v>107</v>
      </c>
      <c r="D117" s="39" t="s">
        <v>44</v>
      </c>
      <c r="E117" s="40">
        <v>13721600</v>
      </c>
      <c r="F117" s="40">
        <v>13721600</v>
      </c>
      <c r="G117" s="41">
        <v>0</v>
      </c>
      <c r="H117" s="40">
        <v>3430400</v>
      </c>
      <c r="I117" s="40">
        <v>2130400</v>
      </c>
      <c r="J117" s="41">
        <v>0</v>
      </c>
      <c r="K117" s="41">
        <v>0</v>
      </c>
      <c r="L117" s="41">
        <v>0</v>
      </c>
      <c r="M117" s="40">
        <v>8160800</v>
      </c>
      <c r="N117" s="41">
        <v>0</v>
      </c>
      <c r="O117" s="41">
        <v>0</v>
      </c>
      <c r="P117" s="41">
        <v>0</v>
      </c>
      <c r="Q117" s="41">
        <v>0</v>
      </c>
      <c r="R117" s="41">
        <v>0</v>
      </c>
    </row>
    <row r="118" spans="2:18" ht="16.5" x14ac:dyDescent="0.2">
      <c r="B118" t="s">
        <v>289</v>
      </c>
      <c r="C118" s="39" t="s">
        <v>112</v>
      </c>
      <c r="D118" s="36" t="s">
        <v>113</v>
      </c>
      <c r="E118" s="40">
        <v>43369040</v>
      </c>
      <c r="F118" s="40">
        <v>43369040</v>
      </c>
      <c r="G118" s="41">
        <v>0</v>
      </c>
      <c r="H118" s="41">
        <v>0</v>
      </c>
      <c r="I118" s="41">
        <v>0</v>
      </c>
      <c r="J118" s="40">
        <v>6019385</v>
      </c>
      <c r="K118" s="40">
        <v>2595693</v>
      </c>
      <c r="L118" s="40">
        <v>4651385</v>
      </c>
      <c r="M118" s="40">
        <v>26111077</v>
      </c>
      <c r="N118" s="40">
        <v>3991500</v>
      </c>
      <c r="O118" s="41">
        <v>0</v>
      </c>
      <c r="P118" s="41">
        <v>0</v>
      </c>
      <c r="Q118" s="41">
        <v>0</v>
      </c>
      <c r="R118" s="41">
        <v>0</v>
      </c>
    </row>
    <row r="119" spans="2:18" ht="24.75" x14ac:dyDescent="0.2">
      <c r="B119" t="s">
        <v>289</v>
      </c>
      <c r="C119" s="37" t="s">
        <v>118</v>
      </c>
      <c r="D119" s="36" t="s">
        <v>46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0</v>
      </c>
      <c r="P119" s="45">
        <v>0</v>
      </c>
      <c r="Q119" s="45">
        <v>0</v>
      </c>
      <c r="R119" s="45">
        <v>0</v>
      </c>
    </row>
    <row r="120" spans="2:18" x14ac:dyDescent="0.2">
      <c r="B120" t="s">
        <v>289</v>
      </c>
      <c r="C120" s="39" t="s">
        <v>123</v>
      </c>
      <c r="D120" s="39" t="s">
        <v>47</v>
      </c>
      <c r="E120" s="41">
        <v>0</v>
      </c>
      <c r="F120" s="41">
        <v>0</v>
      </c>
      <c r="G120" s="41">
        <v>0</v>
      </c>
      <c r="H120" s="41">
        <v>0</v>
      </c>
      <c r="I120" s="41">
        <v>0</v>
      </c>
      <c r="J120" s="41">
        <v>0</v>
      </c>
      <c r="K120" s="41">
        <v>0</v>
      </c>
      <c r="L120" s="41">
        <v>0</v>
      </c>
      <c r="M120" s="41">
        <v>0</v>
      </c>
      <c r="N120" s="41">
        <v>0</v>
      </c>
      <c r="O120" s="41">
        <v>0</v>
      </c>
      <c r="P120" s="41">
        <v>0</v>
      </c>
      <c r="Q120" s="41">
        <v>0</v>
      </c>
      <c r="R120" s="41">
        <v>0</v>
      </c>
    </row>
    <row r="121" spans="2:18" ht="24.75" x14ac:dyDescent="0.2">
      <c r="B121" t="s">
        <v>289</v>
      </c>
      <c r="C121" s="47">
        <v>39450</v>
      </c>
      <c r="D121" s="36" t="s">
        <v>173</v>
      </c>
      <c r="E121" s="38">
        <v>161733104</v>
      </c>
      <c r="F121" s="38">
        <v>161733104</v>
      </c>
      <c r="G121" s="38">
        <v>6260260</v>
      </c>
      <c r="H121" s="38">
        <v>9794260</v>
      </c>
      <c r="I121" s="38">
        <v>12248646</v>
      </c>
      <c r="J121" s="38">
        <v>6890260</v>
      </c>
      <c r="K121" s="38">
        <v>6260260</v>
      </c>
      <c r="L121" s="38">
        <v>13004646</v>
      </c>
      <c r="M121" s="38">
        <v>64774097</v>
      </c>
      <c r="N121" s="38">
        <v>16829635</v>
      </c>
      <c r="O121" s="38">
        <v>6260260</v>
      </c>
      <c r="P121" s="38">
        <v>6890260</v>
      </c>
      <c r="Q121" s="38">
        <v>6260260</v>
      </c>
      <c r="R121" s="38">
        <v>6260260</v>
      </c>
    </row>
    <row r="122" spans="2:18" x14ac:dyDescent="0.2">
      <c r="B122" t="s">
        <v>289</v>
      </c>
      <c r="C122" s="57" t="s">
        <v>52</v>
      </c>
      <c r="D122" s="60" t="s">
        <v>53</v>
      </c>
      <c r="E122" s="63" t="s">
        <v>54</v>
      </c>
      <c r="F122" s="66" t="s">
        <v>55</v>
      </c>
      <c r="G122" s="69" t="s">
        <v>56</v>
      </c>
      <c r="H122" s="70"/>
      <c r="I122" s="70"/>
      <c r="J122" s="70"/>
      <c r="K122" s="70"/>
      <c r="L122" s="71"/>
      <c r="M122" s="69" t="s">
        <v>57</v>
      </c>
      <c r="N122" s="70"/>
      <c r="O122" s="70"/>
      <c r="P122" s="70"/>
      <c r="Q122" s="70"/>
      <c r="R122" s="71"/>
    </row>
    <row r="123" spans="2:18" x14ac:dyDescent="0.2">
      <c r="B123" t="s">
        <v>289</v>
      </c>
      <c r="C123" s="58"/>
      <c r="D123" s="61"/>
      <c r="E123" s="64"/>
      <c r="F123" s="67"/>
      <c r="G123" s="69" t="s">
        <v>58</v>
      </c>
      <c r="H123" s="70"/>
      <c r="I123" s="71"/>
      <c r="J123" s="69" t="s">
        <v>59</v>
      </c>
      <c r="K123" s="70"/>
      <c r="L123" s="71"/>
      <c r="M123" s="69" t="s">
        <v>60</v>
      </c>
      <c r="N123" s="70"/>
      <c r="O123" s="71"/>
      <c r="P123" s="69" t="s">
        <v>61</v>
      </c>
      <c r="Q123" s="70"/>
      <c r="R123" s="71"/>
    </row>
    <row r="124" spans="2:18" x14ac:dyDescent="0.2">
      <c r="B124" t="s">
        <v>289</v>
      </c>
      <c r="C124" s="59"/>
      <c r="D124" s="62"/>
      <c r="E124" s="65"/>
      <c r="F124" s="68"/>
      <c r="G124" s="28" t="s">
        <v>62</v>
      </c>
      <c r="H124" s="28" t="s">
        <v>63</v>
      </c>
      <c r="I124" s="29" t="s">
        <v>64</v>
      </c>
      <c r="J124" s="29" t="s">
        <v>65</v>
      </c>
      <c r="K124" s="29" t="s">
        <v>66</v>
      </c>
      <c r="L124" s="29" t="s">
        <v>67</v>
      </c>
      <c r="M124" s="29" t="s">
        <v>68</v>
      </c>
      <c r="N124" s="28" t="s">
        <v>69</v>
      </c>
      <c r="O124" s="28" t="s">
        <v>70</v>
      </c>
      <c r="P124" s="28" t="s">
        <v>71</v>
      </c>
      <c r="Q124" s="28" t="s">
        <v>72</v>
      </c>
      <c r="R124" s="28" t="s">
        <v>73</v>
      </c>
    </row>
    <row r="125" spans="2:18" ht="33" x14ac:dyDescent="0.2">
      <c r="B125" t="s">
        <v>289</v>
      </c>
      <c r="C125" s="37" t="s">
        <v>174</v>
      </c>
      <c r="D125" s="32" t="s">
        <v>239</v>
      </c>
      <c r="E125" s="38">
        <v>161733104</v>
      </c>
      <c r="F125" s="38">
        <v>161733104</v>
      </c>
      <c r="G125" s="38">
        <v>6260260</v>
      </c>
      <c r="H125" s="38">
        <v>9794260</v>
      </c>
      <c r="I125" s="38">
        <v>12248646</v>
      </c>
      <c r="J125" s="38">
        <v>6890260</v>
      </c>
      <c r="K125" s="38">
        <v>6260260</v>
      </c>
      <c r="L125" s="38">
        <v>13004646</v>
      </c>
      <c r="M125" s="38">
        <v>64774097</v>
      </c>
      <c r="N125" s="38">
        <v>16829635</v>
      </c>
      <c r="O125" s="38">
        <v>6260260</v>
      </c>
      <c r="P125" s="38">
        <v>6890260</v>
      </c>
      <c r="Q125" s="38">
        <v>6260260</v>
      </c>
      <c r="R125" s="38">
        <v>6260260</v>
      </c>
    </row>
    <row r="126" spans="2:18" ht="24.75" x14ac:dyDescent="0.2">
      <c r="B126" t="s">
        <v>289</v>
      </c>
      <c r="C126" s="39" t="s">
        <v>176</v>
      </c>
      <c r="D126" s="36" t="s">
        <v>240</v>
      </c>
      <c r="E126" s="40">
        <v>9929500</v>
      </c>
      <c r="F126" s="40">
        <v>9929500</v>
      </c>
      <c r="G126" s="41">
        <v>0</v>
      </c>
      <c r="H126" s="41">
        <v>0</v>
      </c>
      <c r="I126" s="41">
        <v>0</v>
      </c>
      <c r="J126" s="41">
        <v>0</v>
      </c>
      <c r="K126" s="41">
        <v>0</v>
      </c>
      <c r="L126" s="40">
        <v>756000</v>
      </c>
      <c r="M126" s="40">
        <v>9173500</v>
      </c>
      <c r="N126" s="41">
        <v>0</v>
      </c>
      <c r="O126" s="41">
        <v>0</v>
      </c>
      <c r="P126" s="41">
        <v>0</v>
      </c>
      <c r="Q126" s="41">
        <v>0</v>
      </c>
      <c r="R126" s="41">
        <v>0</v>
      </c>
    </row>
    <row r="127" spans="2:18" ht="33" x14ac:dyDescent="0.2">
      <c r="B127" t="s">
        <v>289</v>
      </c>
      <c r="C127" s="42" t="s">
        <v>241</v>
      </c>
      <c r="D127" s="36" t="s">
        <v>242</v>
      </c>
      <c r="E127" s="43">
        <v>15286250</v>
      </c>
      <c r="F127" s="43">
        <v>15286250</v>
      </c>
      <c r="G127" s="44">
        <v>0</v>
      </c>
      <c r="H127" s="43">
        <v>630000</v>
      </c>
      <c r="I127" s="44">
        <v>0</v>
      </c>
      <c r="J127" s="44">
        <v>0</v>
      </c>
      <c r="K127" s="44">
        <v>0</v>
      </c>
      <c r="L127" s="44">
        <v>0</v>
      </c>
      <c r="M127" s="43">
        <v>14656250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</row>
    <row r="128" spans="2:18" ht="16.5" x14ac:dyDescent="0.2">
      <c r="B128" t="s">
        <v>289</v>
      </c>
      <c r="C128" s="42" t="s">
        <v>180</v>
      </c>
      <c r="D128" s="39" t="s">
        <v>181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4">
        <v>0</v>
      </c>
    </row>
    <row r="129" spans="2:18" ht="33" x14ac:dyDescent="0.2">
      <c r="B129" t="s">
        <v>289</v>
      </c>
      <c r="C129" s="42" t="s">
        <v>182</v>
      </c>
      <c r="D129" s="36" t="s">
        <v>183</v>
      </c>
      <c r="E129" s="43">
        <v>115378604</v>
      </c>
      <c r="F129" s="43">
        <v>115378604</v>
      </c>
      <c r="G129" s="43">
        <v>6260260</v>
      </c>
      <c r="H129" s="43">
        <v>9164260</v>
      </c>
      <c r="I129" s="43">
        <v>12248646</v>
      </c>
      <c r="J129" s="43">
        <v>6890260</v>
      </c>
      <c r="K129" s="43">
        <v>6260260</v>
      </c>
      <c r="L129" s="43">
        <v>12248646</v>
      </c>
      <c r="M129" s="43">
        <v>30374972</v>
      </c>
      <c r="N129" s="43">
        <v>6260260</v>
      </c>
      <c r="O129" s="43">
        <v>6260260</v>
      </c>
      <c r="P129" s="43">
        <v>6890260</v>
      </c>
      <c r="Q129" s="43">
        <v>6260260</v>
      </c>
      <c r="R129" s="43">
        <v>6260260</v>
      </c>
    </row>
    <row r="130" spans="2:18" ht="33" x14ac:dyDescent="0.2">
      <c r="B130" t="s">
        <v>289</v>
      </c>
      <c r="C130" s="42" t="s">
        <v>243</v>
      </c>
      <c r="D130" s="36" t="s">
        <v>244</v>
      </c>
      <c r="E130" s="43">
        <v>21138750</v>
      </c>
      <c r="F130" s="43">
        <v>21138750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3">
        <v>10569375</v>
      </c>
      <c r="N130" s="43">
        <v>10569375</v>
      </c>
      <c r="O130" s="44">
        <v>0</v>
      </c>
      <c r="P130" s="44">
        <v>0</v>
      </c>
      <c r="Q130" s="44">
        <v>0</v>
      </c>
      <c r="R130" s="44">
        <v>0</v>
      </c>
    </row>
    <row r="131" spans="2:18" ht="24.75" x14ac:dyDescent="0.2">
      <c r="B131" t="s">
        <v>289</v>
      </c>
      <c r="C131" s="34">
        <v>39816</v>
      </c>
      <c r="D131" s="36" t="s">
        <v>184</v>
      </c>
      <c r="E131" s="33">
        <v>119222892</v>
      </c>
      <c r="F131" s="33">
        <v>119222892</v>
      </c>
      <c r="G131" s="33">
        <v>6260260</v>
      </c>
      <c r="H131" s="33">
        <v>6260260</v>
      </c>
      <c r="I131" s="33">
        <v>12248646</v>
      </c>
      <c r="J131" s="33">
        <v>6260260</v>
      </c>
      <c r="K131" s="33">
        <v>6260260</v>
      </c>
      <c r="L131" s="33">
        <v>24558646</v>
      </c>
      <c r="M131" s="33">
        <v>26073260</v>
      </c>
      <c r="N131" s="33">
        <v>6260260</v>
      </c>
      <c r="O131" s="33">
        <v>6260260</v>
      </c>
      <c r="P131" s="33">
        <v>6260260</v>
      </c>
      <c r="Q131" s="33">
        <v>6260260</v>
      </c>
      <c r="R131" s="33">
        <v>6260260</v>
      </c>
    </row>
    <row r="132" spans="2:18" ht="41.25" x14ac:dyDescent="0.2">
      <c r="B132" t="s">
        <v>289</v>
      </c>
      <c r="C132" s="37" t="s">
        <v>185</v>
      </c>
      <c r="D132" s="36" t="s">
        <v>186</v>
      </c>
      <c r="E132" s="38">
        <v>119222892</v>
      </c>
      <c r="F132" s="38">
        <v>119222892</v>
      </c>
      <c r="G132" s="38">
        <v>6260260</v>
      </c>
      <c r="H132" s="38">
        <v>6260260</v>
      </c>
      <c r="I132" s="38">
        <v>12248646</v>
      </c>
      <c r="J132" s="38">
        <v>6260260</v>
      </c>
      <c r="K132" s="38">
        <v>6260260</v>
      </c>
      <c r="L132" s="38">
        <v>24558646</v>
      </c>
      <c r="M132" s="38">
        <v>26073260</v>
      </c>
      <c r="N132" s="38">
        <v>6260260</v>
      </c>
      <c r="O132" s="38">
        <v>6260260</v>
      </c>
      <c r="P132" s="38">
        <v>6260260</v>
      </c>
      <c r="Q132" s="38">
        <v>6260260</v>
      </c>
      <c r="R132" s="38">
        <v>6260260</v>
      </c>
    </row>
    <row r="133" spans="2:18" ht="24.75" x14ac:dyDescent="0.2">
      <c r="B133" t="s">
        <v>289</v>
      </c>
      <c r="C133" s="39" t="s">
        <v>245</v>
      </c>
      <c r="D133" s="36" t="s">
        <v>246</v>
      </c>
      <c r="E133" s="40">
        <v>119222892</v>
      </c>
      <c r="F133" s="40">
        <v>119222892</v>
      </c>
      <c r="G133" s="40">
        <v>6260260</v>
      </c>
      <c r="H133" s="40">
        <v>6260260</v>
      </c>
      <c r="I133" s="40">
        <v>12248646</v>
      </c>
      <c r="J133" s="40">
        <v>6260260</v>
      </c>
      <c r="K133" s="40">
        <v>6260260</v>
      </c>
      <c r="L133" s="40">
        <v>24558646</v>
      </c>
      <c r="M133" s="40">
        <v>26073260</v>
      </c>
      <c r="N133" s="40">
        <v>6260260</v>
      </c>
      <c r="O133" s="40">
        <v>6260260</v>
      </c>
      <c r="P133" s="40">
        <v>6260260</v>
      </c>
      <c r="Q133" s="40">
        <v>6260260</v>
      </c>
      <c r="R133" s="40">
        <v>6260260</v>
      </c>
    </row>
    <row r="134" spans="2:18" ht="16.5" x14ac:dyDescent="0.2">
      <c r="C134" s="30" t="s">
        <v>290</v>
      </c>
      <c r="D134" s="30" t="s">
        <v>247</v>
      </c>
      <c r="E134" s="31">
        <v>813293186</v>
      </c>
      <c r="F134" s="31">
        <v>813293186</v>
      </c>
      <c r="G134" s="31">
        <v>41270066</v>
      </c>
      <c r="H134" s="31">
        <v>65620066</v>
      </c>
      <c r="I134" s="31">
        <v>76780382</v>
      </c>
      <c r="J134" s="31">
        <v>44430066</v>
      </c>
      <c r="K134" s="31">
        <v>46850066</v>
      </c>
      <c r="L134" s="31">
        <v>72600066</v>
      </c>
      <c r="M134" s="31">
        <v>95663635</v>
      </c>
      <c r="N134" s="31">
        <v>74283911</v>
      </c>
      <c r="O134" s="31">
        <v>116870909</v>
      </c>
      <c r="P134" s="31">
        <v>56870766</v>
      </c>
      <c r="Q134" s="31">
        <v>44032871</v>
      </c>
      <c r="R134" s="31">
        <v>78020382</v>
      </c>
    </row>
    <row r="135" spans="2:18" ht="33" x14ac:dyDescent="0.2">
      <c r="B135" t="s">
        <v>290</v>
      </c>
      <c r="C135" s="32" t="s">
        <v>84</v>
      </c>
      <c r="D135" s="36" t="s">
        <v>85</v>
      </c>
      <c r="E135" s="33">
        <v>813293186</v>
      </c>
      <c r="F135" s="33">
        <v>813293186</v>
      </c>
      <c r="G135" s="33">
        <v>41270066</v>
      </c>
      <c r="H135" s="33">
        <v>65620066</v>
      </c>
      <c r="I135" s="33">
        <v>76780382</v>
      </c>
      <c r="J135" s="33">
        <v>44430066</v>
      </c>
      <c r="K135" s="33">
        <v>46850066</v>
      </c>
      <c r="L135" s="33">
        <v>72600066</v>
      </c>
      <c r="M135" s="33">
        <v>95663635</v>
      </c>
      <c r="N135" s="33">
        <v>74283911</v>
      </c>
      <c r="O135" s="33">
        <v>116870909</v>
      </c>
      <c r="P135" s="33">
        <v>56870766</v>
      </c>
      <c r="Q135" s="33">
        <v>44032871</v>
      </c>
      <c r="R135" s="33">
        <v>78020382</v>
      </c>
    </row>
    <row r="136" spans="2:18" ht="33" x14ac:dyDescent="0.2">
      <c r="B136" t="s">
        <v>290</v>
      </c>
      <c r="C136" s="47">
        <v>36894</v>
      </c>
      <c r="D136" s="36" t="s">
        <v>39</v>
      </c>
      <c r="E136" s="38">
        <v>687232736</v>
      </c>
      <c r="F136" s="38">
        <v>687232736</v>
      </c>
      <c r="G136" s="38">
        <v>39770066</v>
      </c>
      <c r="H136" s="38">
        <v>44830066</v>
      </c>
      <c r="I136" s="38">
        <v>76780382</v>
      </c>
      <c r="J136" s="38">
        <v>44430066</v>
      </c>
      <c r="K136" s="38">
        <v>40850066</v>
      </c>
      <c r="L136" s="38">
        <v>72600066</v>
      </c>
      <c r="M136" s="38">
        <v>46219030</v>
      </c>
      <c r="N136" s="38">
        <v>40730066</v>
      </c>
      <c r="O136" s="38">
        <v>115870909</v>
      </c>
      <c r="P136" s="38">
        <v>43098766</v>
      </c>
      <c r="Q136" s="38">
        <v>44032871</v>
      </c>
      <c r="R136" s="38">
        <v>78020382</v>
      </c>
    </row>
    <row r="137" spans="2:18" ht="16.5" x14ac:dyDescent="0.2">
      <c r="B137" t="s">
        <v>290</v>
      </c>
      <c r="C137" s="32" t="s">
        <v>105</v>
      </c>
      <c r="D137" s="32" t="s">
        <v>42</v>
      </c>
      <c r="E137" s="33">
        <v>38610469</v>
      </c>
      <c r="F137" s="33">
        <v>38610469</v>
      </c>
      <c r="G137" s="33">
        <v>400000</v>
      </c>
      <c r="H137" s="33">
        <v>5460000</v>
      </c>
      <c r="I137" s="33">
        <v>1480000</v>
      </c>
      <c r="J137" s="33">
        <v>5060000</v>
      </c>
      <c r="K137" s="33">
        <v>1480000</v>
      </c>
      <c r="L137" s="33">
        <v>730000</v>
      </c>
      <c r="M137" s="33">
        <v>6848964</v>
      </c>
      <c r="N137" s="33">
        <v>1360000</v>
      </c>
      <c r="O137" s="33">
        <v>4680000</v>
      </c>
      <c r="P137" s="33">
        <v>3728700</v>
      </c>
      <c r="Q137" s="33">
        <v>4662805</v>
      </c>
      <c r="R137" s="33">
        <v>2720000</v>
      </c>
    </row>
    <row r="138" spans="2:18" x14ac:dyDescent="0.2">
      <c r="B138" t="s">
        <v>290</v>
      </c>
      <c r="C138" s="39" t="s">
        <v>107</v>
      </c>
      <c r="D138" s="39" t="s">
        <v>44</v>
      </c>
      <c r="E138" s="40">
        <v>24651505</v>
      </c>
      <c r="F138" s="40">
        <v>24651505</v>
      </c>
      <c r="G138" s="41">
        <v>0</v>
      </c>
      <c r="H138" s="40">
        <v>4400000</v>
      </c>
      <c r="I138" s="40">
        <v>420000</v>
      </c>
      <c r="J138" s="40">
        <v>4000000</v>
      </c>
      <c r="K138" s="40">
        <v>420000</v>
      </c>
      <c r="L138" s="41">
        <v>0</v>
      </c>
      <c r="M138" s="40">
        <v>5220000</v>
      </c>
      <c r="N138" s="41">
        <v>0</v>
      </c>
      <c r="O138" s="40">
        <v>3320000</v>
      </c>
      <c r="P138" s="40">
        <v>2368700</v>
      </c>
      <c r="Q138" s="40">
        <v>3302805</v>
      </c>
      <c r="R138" s="40">
        <v>1200000</v>
      </c>
    </row>
    <row r="139" spans="2:18" ht="16.5" x14ac:dyDescent="0.2">
      <c r="B139" t="s">
        <v>290</v>
      </c>
      <c r="C139" s="42" t="s">
        <v>108</v>
      </c>
      <c r="D139" s="36" t="s">
        <v>45</v>
      </c>
      <c r="E139" s="43">
        <v>6638964</v>
      </c>
      <c r="F139" s="43">
        <v>6638964</v>
      </c>
      <c r="G139" s="43">
        <v>400000</v>
      </c>
      <c r="H139" s="43">
        <v>400000</v>
      </c>
      <c r="I139" s="43">
        <v>400000</v>
      </c>
      <c r="J139" s="43">
        <v>400000</v>
      </c>
      <c r="K139" s="43">
        <v>400000</v>
      </c>
      <c r="L139" s="43">
        <v>400000</v>
      </c>
      <c r="M139" s="43">
        <v>638964</v>
      </c>
      <c r="N139" s="43">
        <v>700000</v>
      </c>
      <c r="O139" s="43">
        <v>700000</v>
      </c>
      <c r="P139" s="43">
        <v>700000</v>
      </c>
      <c r="Q139" s="43">
        <v>700000</v>
      </c>
      <c r="R139" s="43">
        <v>800000</v>
      </c>
    </row>
    <row r="140" spans="2:18" x14ac:dyDescent="0.2">
      <c r="B140" t="s">
        <v>290</v>
      </c>
      <c r="C140" s="57" t="s">
        <v>52</v>
      </c>
      <c r="D140" s="60" t="s">
        <v>53</v>
      </c>
      <c r="E140" s="63" t="s">
        <v>54</v>
      </c>
      <c r="F140" s="66" t="s">
        <v>55</v>
      </c>
      <c r="G140" s="69" t="s">
        <v>56</v>
      </c>
      <c r="H140" s="70"/>
      <c r="I140" s="70"/>
      <c r="J140" s="70"/>
      <c r="K140" s="70"/>
      <c r="L140" s="71"/>
      <c r="M140" s="69" t="s">
        <v>57</v>
      </c>
      <c r="N140" s="70"/>
      <c r="O140" s="70"/>
      <c r="P140" s="70"/>
      <c r="Q140" s="70"/>
      <c r="R140" s="71"/>
    </row>
    <row r="141" spans="2:18" x14ac:dyDescent="0.2">
      <c r="B141" t="s">
        <v>290</v>
      </c>
      <c r="C141" s="58"/>
      <c r="D141" s="61"/>
      <c r="E141" s="64"/>
      <c r="F141" s="67"/>
      <c r="G141" s="69" t="s">
        <v>58</v>
      </c>
      <c r="H141" s="70"/>
      <c r="I141" s="71"/>
      <c r="J141" s="69" t="s">
        <v>59</v>
      </c>
      <c r="K141" s="70"/>
      <c r="L141" s="71"/>
      <c r="M141" s="69" t="s">
        <v>60</v>
      </c>
      <c r="N141" s="70"/>
      <c r="O141" s="71"/>
      <c r="P141" s="69" t="s">
        <v>61</v>
      </c>
      <c r="Q141" s="70"/>
      <c r="R141" s="71"/>
    </row>
    <row r="142" spans="2:18" x14ac:dyDescent="0.2">
      <c r="B142" t="s">
        <v>290</v>
      </c>
      <c r="C142" s="59"/>
      <c r="D142" s="62"/>
      <c r="E142" s="65"/>
      <c r="F142" s="68"/>
      <c r="G142" s="28" t="s">
        <v>62</v>
      </c>
      <c r="H142" s="28" t="s">
        <v>63</v>
      </c>
      <c r="I142" s="29" t="s">
        <v>64</v>
      </c>
      <c r="J142" s="29" t="s">
        <v>65</v>
      </c>
      <c r="K142" s="29" t="s">
        <v>66</v>
      </c>
      <c r="L142" s="29" t="s">
        <v>67</v>
      </c>
      <c r="M142" s="29" t="s">
        <v>68</v>
      </c>
      <c r="N142" s="28" t="s">
        <v>69</v>
      </c>
      <c r="O142" s="28" t="s">
        <v>70</v>
      </c>
      <c r="P142" s="28" t="s">
        <v>71</v>
      </c>
      <c r="Q142" s="28" t="s">
        <v>72</v>
      </c>
      <c r="R142" s="28" t="s">
        <v>73</v>
      </c>
    </row>
    <row r="143" spans="2:18" ht="16.5" x14ac:dyDescent="0.2">
      <c r="B143" t="s">
        <v>290</v>
      </c>
      <c r="C143" s="39" t="s">
        <v>112</v>
      </c>
      <c r="D143" s="39" t="s">
        <v>80</v>
      </c>
      <c r="E143" s="40">
        <v>7320000</v>
      </c>
      <c r="F143" s="40">
        <v>7320000</v>
      </c>
      <c r="G143" s="41">
        <v>0</v>
      </c>
      <c r="H143" s="40">
        <v>660000</v>
      </c>
      <c r="I143" s="40">
        <v>660000</v>
      </c>
      <c r="J143" s="40">
        <v>660000</v>
      </c>
      <c r="K143" s="40">
        <v>660000</v>
      </c>
      <c r="L143" s="40">
        <v>330000</v>
      </c>
      <c r="M143" s="40">
        <v>990000</v>
      </c>
      <c r="N143" s="40">
        <v>660000</v>
      </c>
      <c r="O143" s="40">
        <v>660000</v>
      </c>
      <c r="P143" s="40">
        <v>660000</v>
      </c>
      <c r="Q143" s="40">
        <v>660000</v>
      </c>
      <c r="R143" s="40">
        <v>720000</v>
      </c>
    </row>
    <row r="144" spans="2:18" ht="24.75" x14ac:dyDescent="0.2">
      <c r="B144" t="s">
        <v>290</v>
      </c>
      <c r="C144" s="32" t="s">
        <v>124</v>
      </c>
      <c r="D144" s="36" t="s">
        <v>48</v>
      </c>
      <c r="E144" s="33">
        <v>544301424</v>
      </c>
      <c r="F144" s="33">
        <v>544301424</v>
      </c>
      <c r="G144" s="33">
        <v>39370066</v>
      </c>
      <c r="H144" s="33">
        <v>39370066</v>
      </c>
      <c r="I144" s="33">
        <v>75300382</v>
      </c>
      <c r="J144" s="33">
        <v>39370066</v>
      </c>
      <c r="K144" s="33">
        <v>39370066</v>
      </c>
      <c r="L144" s="33">
        <v>39370066</v>
      </c>
      <c r="M144" s="33">
        <v>39370066</v>
      </c>
      <c r="N144" s="33">
        <v>39370066</v>
      </c>
      <c r="O144" s="33">
        <v>39370066</v>
      </c>
      <c r="P144" s="33">
        <v>39370066</v>
      </c>
      <c r="Q144" s="33">
        <v>39370066</v>
      </c>
      <c r="R144" s="33">
        <v>75300382</v>
      </c>
    </row>
    <row r="145" spans="2:18" ht="16.5" x14ac:dyDescent="0.2">
      <c r="B145" t="s">
        <v>290</v>
      </c>
      <c r="C145" s="42" t="s">
        <v>128</v>
      </c>
      <c r="D145" s="36" t="s">
        <v>51</v>
      </c>
      <c r="E145" s="43">
        <v>544301424</v>
      </c>
      <c r="F145" s="43">
        <v>544301424</v>
      </c>
      <c r="G145" s="43">
        <v>39370066</v>
      </c>
      <c r="H145" s="43">
        <v>39370066</v>
      </c>
      <c r="I145" s="43">
        <v>75300382</v>
      </c>
      <c r="J145" s="43">
        <v>39370066</v>
      </c>
      <c r="K145" s="43">
        <v>39370066</v>
      </c>
      <c r="L145" s="43">
        <v>39370066</v>
      </c>
      <c r="M145" s="43">
        <v>39370066</v>
      </c>
      <c r="N145" s="43">
        <v>39370066</v>
      </c>
      <c r="O145" s="43">
        <v>39370066</v>
      </c>
      <c r="P145" s="43">
        <v>39370066</v>
      </c>
      <c r="Q145" s="43">
        <v>39370066</v>
      </c>
      <c r="R145" s="43">
        <v>75300382</v>
      </c>
    </row>
    <row r="146" spans="2:18" ht="33" x14ac:dyDescent="0.2">
      <c r="B146" t="s">
        <v>290</v>
      </c>
      <c r="C146" s="32" t="s">
        <v>129</v>
      </c>
      <c r="D146" s="36" t="s">
        <v>248</v>
      </c>
      <c r="E146" s="33">
        <v>104320843</v>
      </c>
      <c r="F146" s="33">
        <v>104320843</v>
      </c>
      <c r="G146" s="46">
        <v>0</v>
      </c>
      <c r="H146" s="46">
        <v>0</v>
      </c>
      <c r="I146" s="46">
        <v>0</v>
      </c>
      <c r="J146" s="46">
        <v>0</v>
      </c>
      <c r="K146" s="46">
        <v>0</v>
      </c>
      <c r="L146" s="33">
        <v>32500000</v>
      </c>
      <c r="M146" s="46">
        <v>0</v>
      </c>
      <c r="N146" s="46">
        <v>0</v>
      </c>
      <c r="O146" s="33">
        <v>71820843</v>
      </c>
      <c r="P146" s="46">
        <v>0</v>
      </c>
      <c r="Q146" s="46">
        <v>0</v>
      </c>
      <c r="R146" s="46">
        <v>0</v>
      </c>
    </row>
    <row r="147" spans="2:18" x14ac:dyDescent="0.2">
      <c r="B147" t="s">
        <v>290</v>
      </c>
      <c r="C147" s="39" t="s">
        <v>132</v>
      </c>
      <c r="D147" s="39" t="s">
        <v>133</v>
      </c>
      <c r="E147" s="40">
        <v>104320843</v>
      </c>
      <c r="F147" s="40">
        <v>104320843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0">
        <v>32500000</v>
      </c>
      <c r="M147" s="41">
        <v>0</v>
      </c>
      <c r="N147" s="41">
        <v>0</v>
      </c>
      <c r="O147" s="40">
        <v>71820843</v>
      </c>
      <c r="P147" s="41">
        <v>0</v>
      </c>
      <c r="Q147" s="41">
        <v>0</v>
      </c>
      <c r="R147" s="41">
        <v>0</v>
      </c>
    </row>
    <row r="148" spans="2:18" ht="16.5" x14ac:dyDescent="0.2">
      <c r="B148" t="s">
        <v>290</v>
      </c>
      <c r="C148" s="34">
        <v>40181</v>
      </c>
      <c r="D148" s="32" t="s">
        <v>249</v>
      </c>
      <c r="E148" s="33">
        <v>126060450</v>
      </c>
      <c r="F148" s="33">
        <v>126060450</v>
      </c>
      <c r="G148" s="33">
        <v>1500000</v>
      </c>
      <c r="H148" s="33">
        <v>20790000</v>
      </c>
      <c r="I148" s="46">
        <v>0</v>
      </c>
      <c r="J148" s="46">
        <v>0</v>
      </c>
      <c r="K148" s="33">
        <v>6000000</v>
      </c>
      <c r="L148" s="46">
        <v>0</v>
      </c>
      <c r="M148" s="33">
        <v>49444605</v>
      </c>
      <c r="N148" s="33">
        <v>33553845</v>
      </c>
      <c r="O148" s="33">
        <v>1000000</v>
      </c>
      <c r="P148" s="33">
        <v>13772000</v>
      </c>
      <c r="Q148" s="46">
        <v>0</v>
      </c>
      <c r="R148" s="46">
        <v>0</v>
      </c>
    </row>
    <row r="149" spans="2:18" x14ac:dyDescent="0.2">
      <c r="B149" t="s">
        <v>290</v>
      </c>
      <c r="C149" s="32" t="s">
        <v>190</v>
      </c>
      <c r="D149" s="32" t="s">
        <v>191</v>
      </c>
      <c r="E149" s="33">
        <v>126060450</v>
      </c>
      <c r="F149" s="33">
        <v>126060450</v>
      </c>
      <c r="G149" s="33">
        <v>1500000</v>
      </c>
      <c r="H149" s="33">
        <v>20790000</v>
      </c>
      <c r="I149" s="46">
        <v>0</v>
      </c>
      <c r="J149" s="46">
        <v>0</v>
      </c>
      <c r="K149" s="33">
        <v>6000000</v>
      </c>
      <c r="L149" s="46">
        <v>0</v>
      </c>
      <c r="M149" s="33">
        <v>49444605</v>
      </c>
      <c r="N149" s="33">
        <v>33553845</v>
      </c>
      <c r="O149" s="33">
        <v>1000000</v>
      </c>
      <c r="P149" s="33">
        <v>13772000</v>
      </c>
      <c r="Q149" s="46">
        <v>0</v>
      </c>
      <c r="R149" s="46">
        <v>0</v>
      </c>
    </row>
    <row r="150" spans="2:18" ht="24.75" x14ac:dyDescent="0.2">
      <c r="B150" t="s">
        <v>290</v>
      </c>
      <c r="C150" s="39" t="s">
        <v>214</v>
      </c>
      <c r="D150" s="36" t="s">
        <v>215</v>
      </c>
      <c r="E150" s="40">
        <v>126060450</v>
      </c>
      <c r="F150" s="40">
        <v>126060450</v>
      </c>
      <c r="G150" s="40">
        <v>1500000</v>
      </c>
      <c r="H150" s="40">
        <v>20790000</v>
      </c>
      <c r="I150" s="41">
        <v>0</v>
      </c>
      <c r="J150" s="41">
        <v>0</v>
      </c>
      <c r="K150" s="40">
        <v>6000000</v>
      </c>
      <c r="L150" s="41">
        <v>0</v>
      </c>
      <c r="M150" s="40">
        <v>49444605</v>
      </c>
      <c r="N150" s="40">
        <v>33553845</v>
      </c>
      <c r="O150" s="40">
        <v>1000000</v>
      </c>
      <c r="P150" s="40">
        <v>13772000</v>
      </c>
      <c r="Q150" s="41">
        <v>0</v>
      </c>
      <c r="R150" s="41">
        <v>0</v>
      </c>
    </row>
    <row r="151" spans="2:18" ht="16.5" x14ac:dyDescent="0.2">
      <c r="C151" s="30" t="s">
        <v>250</v>
      </c>
      <c r="D151" s="30" t="s">
        <v>251</v>
      </c>
      <c r="E151" s="31">
        <v>1500332996</v>
      </c>
      <c r="F151" s="31">
        <v>1500332996</v>
      </c>
      <c r="G151" s="31">
        <v>180747085</v>
      </c>
      <c r="H151" s="31">
        <v>45652123</v>
      </c>
      <c r="I151" s="31">
        <v>118588246</v>
      </c>
      <c r="J151" s="31">
        <v>164617070</v>
      </c>
      <c r="K151" s="31">
        <v>46267123</v>
      </c>
      <c r="L151" s="31">
        <v>42207123</v>
      </c>
      <c r="M151" s="31">
        <v>406409874</v>
      </c>
      <c r="N151" s="31">
        <v>84104123</v>
      </c>
      <c r="O151" s="31">
        <v>71104123</v>
      </c>
      <c r="P151" s="31">
        <v>255477860</v>
      </c>
      <c r="Q151" s="31">
        <v>43354123</v>
      </c>
      <c r="R151" s="31">
        <v>41804123</v>
      </c>
    </row>
    <row r="152" spans="2:18" ht="33" x14ac:dyDescent="0.2">
      <c r="B152" s="30" t="s">
        <v>250</v>
      </c>
      <c r="C152" s="32" t="s">
        <v>84</v>
      </c>
      <c r="D152" s="36" t="s">
        <v>85</v>
      </c>
      <c r="E152" s="33">
        <v>1500332996</v>
      </c>
      <c r="F152" s="33">
        <v>1500332996</v>
      </c>
      <c r="G152" s="33">
        <v>180747085</v>
      </c>
      <c r="H152" s="33">
        <v>45652123</v>
      </c>
      <c r="I152" s="33">
        <v>118588246</v>
      </c>
      <c r="J152" s="33">
        <v>164617070</v>
      </c>
      <c r="K152" s="33">
        <v>46267123</v>
      </c>
      <c r="L152" s="33">
        <v>42207123</v>
      </c>
      <c r="M152" s="33">
        <v>406409874</v>
      </c>
      <c r="N152" s="33">
        <v>84104123</v>
      </c>
      <c r="O152" s="33">
        <v>71104123</v>
      </c>
      <c r="P152" s="33">
        <v>255477860</v>
      </c>
      <c r="Q152" s="33">
        <v>43354123</v>
      </c>
      <c r="R152" s="33">
        <v>41804123</v>
      </c>
    </row>
    <row r="153" spans="2:18" ht="24.75" x14ac:dyDescent="0.2">
      <c r="B153" s="30" t="s">
        <v>250</v>
      </c>
      <c r="C153" s="34">
        <v>36894</v>
      </c>
      <c r="D153" s="32" t="s">
        <v>252</v>
      </c>
      <c r="E153" s="33">
        <v>1448212996</v>
      </c>
      <c r="F153" s="33">
        <v>1448212996</v>
      </c>
      <c r="G153" s="33">
        <v>177268085</v>
      </c>
      <c r="H153" s="33">
        <v>42174123</v>
      </c>
      <c r="I153" s="33">
        <v>115110246</v>
      </c>
      <c r="J153" s="33">
        <v>161109070</v>
      </c>
      <c r="K153" s="33">
        <v>42749123</v>
      </c>
      <c r="L153" s="33">
        <v>38820123</v>
      </c>
      <c r="M153" s="33">
        <v>401197874</v>
      </c>
      <c r="N153" s="33">
        <v>78892123</v>
      </c>
      <c r="O153" s="33">
        <v>65892123</v>
      </c>
      <c r="P153" s="33">
        <v>250265860</v>
      </c>
      <c r="Q153" s="33">
        <v>38142123</v>
      </c>
      <c r="R153" s="33">
        <v>36592123</v>
      </c>
    </row>
    <row r="154" spans="2:18" ht="16.5" x14ac:dyDescent="0.2">
      <c r="B154" s="30" t="s">
        <v>250</v>
      </c>
      <c r="C154" s="32" t="s">
        <v>105</v>
      </c>
      <c r="D154" s="32" t="s">
        <v>42</v>
      </c>
      <c r="E154" s="33">
        <v>49316906</v>
      </c>
      <c r="F154" s="33">
        <v>49316906</v>
      </c>
      <c r="G154" s="33">
        <v>10440762</v>
      </c>
      <c r="H154" s="33">
        <v>1738000</v>
      </c>
      <c r="I154" s="33">
        <v>1738000</v>
      </c>
      <c r="J154" s="33">
        <v>2338000</v>
      </c>
      <c r="K154" s="33">
        <v>1738000</v>
      </c>
      <c r="L154" s="33">
        <v>1734000</v>
      </c>
      <c r="M154" s="33">
        <v>15660144</v>
      </c>
      <c r="N154" s="33">
        <v>2606000</v>
      </c>
      <c r="O154" s="33">
        <v>2606000</v>
      </c>
      <c r="P154" s="33">
        <v>3506000</v>
      </c>
      <c r="Q154" s="33">
        <v>2606000</v>
      </c>
      <c r="R154" s="33">
        <v>2606000</v>
      </c>
    </row>
    <row r="155" spans="2:18" x14ac:dyDescent="0.2">
      <c r="B155" s="30" t="s">
        <v>250</v>
      </c>
      <c r="C155" s="39" t="s">
        <v>107</v>
      </c>
      <c r="D155" s="39" t="s">
        <v>44</v>
      </c>
      <c r="E155" s="40">
        <v>16756906</v>
      </c>
      <c r="F155" s="40">
        <v>16756906</v>
      </c>
      <c r="G155" s="40">
        <v>6702762</v>
      </c>
      <c r="H155" s="41">
        <v>0</v>
      </c>
      <c r="I155" s="41">
        <v>0</v>
      </c>
      <c r="J155" s="41">
        <v>0</v>
      </c>
      <c r="K155" s="41">
        <v>0</v>
      </c>
      <c r="L155" s="41">
        <v>0</v>
      </c>
      <c r="M155" s="40">
        <v>10054144</v>
      </c>
      <c r="N155" s="41">
        <v>0</v>
      </c>
      <c r="O155" s="41">
        <v>0</v>
      </c>
      <c r="P155" s="41">
        <v>0</v>
      </c>
      <c r="Q155" s="41">
        <v>0</v>
      </c>
      <c r="R155" s="41">
        <v>0</v>
      </c>
    </row>
    <row r="156" spans="2:18" ht="16.5" x14ac:dyDescent="0.2">
      <c r="B156" s="30" t="s">
        <v>250</v>
      </c>
      <c r="C156" s="42" t="s">
        <v>108</v>
      </c>
      <c r="D156" s="36" t="s">
        <v>45</v>
      </c>
      <c r="E156" s="43">
        <v>6500000</v>
      </c>
      <c r="F156" s="43">
        <v>6500000</v>
      </c>
      <c r="G156" s="43">
        <v>2000000</v>
      </c>
      <c r="H156" s="44">
        <v>0</v>
      </c>
      <c r="I156" s="44">
        <v>0</v>
      </c>
      <c r="J156" s="43">
        <v>600000</v>
      </c>
      <c r="K156" s="44">
        <v>0</v>
      </c>
      <c r="L156" s="44">
        <v>0</v>
      </c>
      <c r="M156" s="43">
        <v>3000000</v>
      </c>
      <c r="N156" s="44">
        <v>0</v>
      </c>
      <c r="O156" s="44">
        <v>0</v>
      </c>
      <c r="P156" s="43">
        <v>900000</v>
      </c>
      <c r="Q156" s="44">
        <v>0</v>
      </c>
      <c r="R156" s="44">
        <v>0</v>
      </c>
    </row>
    <row r="157" spans="2:18" ht="16.5" x14ac:dyDescent="0.2">
      <c r="B157" s="30" t="s">
        <v>250</v>
      </c>
      <c r="C157" s="39" t="s">
        <v>112</v>
      </c>
      <c r="D157" s="36" t="s">
        <v>113</v>
      </c>
      <c r="E157" s="40">
        <v>26060000</v>
      </c>
      <c r="F157" s="40">
        <v>26060000</v>
      </c>
      <c r="G157" s="40">
        <v>1738000</v>
      </c>
      <c r="H157" s="40">
        <v>1738000</v>
      </c>
      <c r="I157" s="40">
        <v>1738000</v>
      </c>
      <c r="J157" s="40">
        <v>1738000</v>
      </c>
      <c r="K157" s="40">
        <v>1738000</v>
      </c>
      <c r="L157" s="40">
        <v>1734000</v>
      </c>
      <c r="M157" s="40">
        <v>2606000</v>
      </c>
      <c r="N157" s="40">
        <v>2606000</v>
      </c>
      <c r="O157" s="40">
        <v>2606000</v>
      </c>
      <c r="P157" s="40">
        <v>2606000</v>
      </c>
      <c r="Q157" s="40">
        <v>2606000</v>
      </c>
      <c r="R157" s="40">
        <v>2606000</v>
      </c>
    </row>
    <row r="158" spans="2:18" ht="24.75" x14ac:dyDescent="0.2">
      <c r="B158" s="30" t="s">
        <v>250</v>
      </c>
      <c r="C158" s="37" t="s">
        <v>118</v>
      </c>
      <c r="D158" s="36" t="s">
        <v>46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5">
        <v>0</v>
      </c>
      <c r="L158" s="45">
        <v>0</v>
      </c>
      <c r="M158" s="45">
        <v>0</v>
      </c>
      <c r="N158" s="45">
        <v>0</v>
      </c>
      <c r="O158" s="45">
        <v>0</v>
      </c>
      <c r="P158" s="45">
        <v>0</v>
      </c>
      <c r="Q158" s="45">
        <v>0</v>
      </c>
      <c r="R158" s="45">
        <v>0</v>
      </c>
    </row>
    <row r="159" spans="2:18" x14ac:dyDescent="0.2">
      <c r="B159" s="30" t="s">
        <v>250</v>
      </c>
      <c r="C159" s="39" t="s">
        <v>253</v>
      </c>
      <c r="D159" s="39" t="s">
        <v>254</v>
      </c>
      <c r="E159" s="41">
        <v>0</v>
      </c>
      <c r="F159" s="41">
        <v>0</v>
      </c>
      <c r="G159" s="41">
        <v>0</v>
      </c>
      <c r="H159" s="41">
        <v>0</v>
      </c>
      <c r="I159" s="41">
        <v>0</v>
      </c>
      <c r="J159" s="41">
        <v>0</v>
      </c>
      <c r="K159" s="41">
        <v>0</v>
      </c>
      <c r="L159" s="41">
        <v>0</v>
      </c>
      <c r="M159" s="41">
        <v>0</v>
      </c>
      <c r="N159" s="41">
        <v>0</v>
      </c>
      <c r="O159" s="41">
        <v>0</v>
      </c>
      <c r="P159" s="41">
        <v>0</v>
      </c>
      <c r="Q159" s="41">
        <v>0</v>
      </c>
      <c r="R159" s="41">
        <v>0</v>
      </c>
    </row>
    <row r="160" spans="2:18" ht="24.75" x14ac:dyDescent="0.2">
      <c r="B160" s="30" t="s">
        <v>250</v>
      </c>
      <c r="C160" s="32" t="s">
        <v>124</v>
      </c>
      <c r="D160" s="36" t="s">
        <v>48</v>
      </c>
      <c r="E160" s="33">
        <v>523580722</v>
      </c>
      <c r="F160" s="33">
        <v>523580722</v>
      </c>
      <c r="G160" s="33">
        <v>40436123</v>
      </c>
      <c r="H160" s="33">
        <v>40436123</v>
      </c>
      <c r="I160" s="33">
        <v>73372246</v>
      </c>
      <c r="J160" s="33">
        <v>40436123</v>
      </c>
      <c r="K160" s="33">
        <v>41011123</v>
      </c>
      <c r="L160" s="33">
        <v>37086123</v>
      </c>
      <c r="M160" s="33">
        <v>70022246</v>
      </c>
      <c r="N160" s="33">
        <v>37086123</v>
      </c>
      <c r="O160" s="33">
        <v>37086123</v>
      </c>
      <c r="P160" s="33">
        <v>37086123</v>
      </c>
      <c r="Q160" s="33">
        <v>35536123</v>
      </c>
      <c r="R160" s="33">
        <v>33986123</v>
      </c>
    </row>
    <row r="161" spans="2:18" ht="16.5" x14ac:dyDescent="0.2">
      <c r="B161" s="30" t="s">
        <v>250</v>
      </c>
      <c r="C161" s="42" t="s">
        <v>126</v>
      </c>
      <c r="D161" s="36" t="s">
        <v>50</v>
      </c>
      <c r="E161" s="43">
        <v>62475000</v>
      </c>
      <c r="F161" s="43">
        <v>62475000</v>
      </c>
      <c r="G161" s="43">
        <v>7500000</v>
      </c>
      <c r="H161" s="43">
        <v>7500000</v>
      </c>
      <c r="I161" s="43">
        <v>7500000</v>
      </c>
      <c r="J161" s="43">
        <v>7500000</v>
      </c>
      <c r="K161" s="43">
        <v>8075000</v>
      </c>
      <c r="L161" s="43">
        <v>4150000</v>
      </c>
      <c r="M161" s="43">
        <v>4150000</v>
      </c>
      <c r="N161" s="43">
        <v>4150000</v>
      </c>
      <c r="O161" s="43">
        <v>4150000</v>
      </c>
      <c r="P161" s="43">
        <v>4150000</v>
      </c>
      <c r="Q161" s="43">
        <v>2600000</v>
      </c>
      <c r="R161" s="43">
        <v>1050000</v>
      </c>
    </row>
    <row r="162" spans="2:18" x14ac:dyDescent="0.2">
      <c r="B162" s="30" t="s">
        <v>250</v>
      </c>
      <c r="C162" s="39" t="s">
        <v>128</v>
      </c>
      <c r="D162" s="39" t="s">
        <v>255</v>
      </c>
      <c r="E162" s="40">
        <v>461105722</v>
      </c>
      <c r="F162" s="40">
        <v>461105722</v>
      </c>
      <c r="G162" s="40">
        <v>32936123</v>
      </c>
      <c r="H162" s="40">
        <v>32936123</v>
      </c>
      <c r="I162" s="40">
        <v>65872246</v>
      </c>
      <c r="J162" s="40">
        <v>32936123</v>
      </c>
      <c r="K162" s="40">
        <v>32936123</v>
      </c>
      <c r="L162" s="40">
        <v>32936123</v>
      </c>
      <c r="M162" s="40">
        <v>65872246</v>
      </c>
      <c r="N162" s="40">
        <v>32936123</v>
      </c>
      <c r="O162" s="40">
        <v>32936123</v>
      </c>
      <c r="P162" s="40">
        <v>32936123</v>
      </c>
      <c r="Q162" s="40">
        <v>32936123</v>
      </c>
      <c r="R162" s="40">
        <v>32936123</v>
      </c>
    </row>
    <row r="163" spans="2:18" ht="24.75" x14ac:dyDescent="0.2">
      <c r="B163" s="30" t="s">
        <v>250</v>
      </c>
      <c r="C163" s="50" t="s">
        <v>129</v>
      </c>
      <c r="D163" s="50" t="s">
        <v>256</v>
      </c>
      <c r="E163" s="51">
        <v>875315368</v>
      </c>
      <c r="F163" s="51">
        <v>875315368</v>
      </c>
      <c r="G163" s="51">
        <v>126391200</v>
      </c>
      <c r="H163" s="52">
        <v>0</v>
      </c>
      <c r="I163" s="51">
        <v>40000000</v>
      </c>
      <c r="J163" s="51">
        <v>118334947</v>
      </c>
      <c r="K163" s="52">
        <v>0</v>
      </c>
      <c r="L163" s="52">
        <v>0</v>
      </c>
      <c r="M163" s="51">
        <v>315515484</v>
      </c>
      <c r="N163" s="51">
        <v>39200000</v>
      </c>
      <c r="O163" s="51">
        <v>26200000</v>
      </c>
      <c r="P163" s="51">
        <v>209673737</v>
      </c>
      <c r="Q163" s="52">
        <v>0</v>
      </c>
      <c r="R163" s="52">
        <v>0</v>
      </c>
    </row>
    <row r="164" spans="2:18" x14ac:dyDescent="0.2">
      <c r="B164" s="30" t="s">
        <v>250</v>
      </c>
      <c r="C164" s="57" t="s">
        <v>52</v>
      </c>
      <c r="D164" s="60" t="s">
        <v>53</v>
      </c>
      <c r="E164" s="63" t="s">
        <v>54</v>
      </c>
      <c r="F164" s="66" t="s">
        <v>55</v>
      </c>
      <c r="G164" s="69" t="s">
        <v>56</v>
      </c>
      <c r="H164" s="70"/>
      <c r="I164" s="70"/>
      <c r="J164" s="70"/>
      <c r="K164" s="70"/>
      <c r="L164" s="71"/>
      <c r="M164" s="69" t="s">
        <v>57</v>
      </c>
      <c r="N164" s="70"/>
      <c r="O164" s="70"/>
      <c r="P164" s="70"/>
      <c r="Q164" s="70"/>
      <c r="R164" s="71"/>
    </row>
    <row r="165" spans="2:18" x14ac:dyDescent="0.2">
      <c r="B165" s="30" t="s">
        <v>250</v>
      </c>
      <c r="C165" s="58"/>
      <c r="D165" s="61"/>
      <c r="E165" s="64"/>
      <c r="F165" s="67"/>
      <c r="G165" s="69" t="s">
        <v>58</v>
      </c>
      <c r="H165" s="70"/>
      <c r="I165" s="71"/>
      <c r="J165" s="69" t="s">
        <v>59</v>
      </c>
      <c r="K165" s="70"/>
      <c r="L165" s="71"/>
      <c r="M165" s="69" t="s">
        <v>60</v>
      </c>
      <c r="N165" s="70"/>
      <c r="O165" s="71"/>
      <c r="P165" s="69" t="s">
        <v>61</v>
      </c>
      <c r="Q165" s="70"/>
      <c r="R165" s="71"/>
    </row>
    <row r="166" spans="2:18" x14ac:dyDescent="0.2">
      <c r="B166" s="30" t="s">
        <v>250</v>
      </c>
      <c r="C166" s="59"/>
      <c r="D166" s="62"/>
      <c r="E166" s="65"/>
      <c r="F166" s="68"/>
      <c r="G166" s="28" t="s">
        <v>62</v>
      </c>
      <c r="H166" s="28" t="s">
        <v>63</v>
      </c>
      <c r="I166" s="29" t="s">
        <v>64</v>
      </c>
      <c r="J166" s="29" t="s">
        <v>65</v>
      </c>
      <c r="K166" s="29" t="s">
        <v>66</v>
      </c>
      <c r="L166" s="29" t="s">
        <v>67</v>
      </c>
      <c r="M166" s="29" t="s">
        <v>68</v>
      </c>
      <c r="N166" s="28" t="s">
        <v>69</v>
      </c>
      <c r="O166" s="28" t="s">
        <v>70</v>
      </c>
      <c r="P166" s="28" t="s">
        <v>71</v>
      </c>
      <c r="Q166" s="28" t="s">
        <v>72</v>
      </c>
      <c r="R166" s="28" t="s">
        <v>73</v>
      </c>
    </row>
    <row r="167" spans="2:18" x14ac:dyDescent="0.2">
      <c r="B167" s="30" t="s">
        <v>250</v>
      </c>
      <c r="C167" s="53"/>
      <c r="D167" s="32" t="s">
        <v>257</v>
      </c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spans="2:18" ht="33" x14ac:dyDescent="0.2">
      <c r="B168" s="30" t="s">
        <v>250</v>
      </c>
      <c r="C168" s="42" t="s">
        <v>130</v>
      </c>
      <c r="D168" s="36" t="s">
        <v>75</v>
      </c>
      <c r="E168" s="43">
        <v>379810000</v>
      </c>
      <c r="F168" s="43">
        <v>379810000</v>
      </c>
      <c r="G168" s="43">
        <v>45524000</v>
      </c>
      <c r="H168" s="44">
        <v>0</v>
      </c>
      <c r="I168" s="44">
        <v>0</v>
      </c>
      <c r="J168" s="43">
        <v>41000000</v>
      </c>
      <c r="K168" s="44">
        <v>0</v>
      </c>
      <c r="L168" s="44">
        <v>0</v>
      </c>
      <c r="M168" s="43">
        <v>119586000</v>
      </c>
      <c r="N168" s="43">
        <v>39200000</v>
      </c>
      <c r="O168" s="43">
        <v>26200000</v>
      </c>
      <c r="P168" s="43">
        <v>108300000</v>
      </c>
      <c r="Q168" s="44">
        <v>0</v>
      </c>
      <c r="R168" s="44">
        <v>0</v>
      </c>
    </row>
    <row r="169" spans="2:18" ht="16.5" x14ac:dyDescent="0.2">
      <c r="B169" s="30" t="s">
        <v>250</v>
      </c>
      <c r="C169" s="39" t="s">
        <v>258</v>
      </c>
      <c r="D169" s="36" t="s">
        <v>259</v>
      </c>
      <c r="E169" s="40">
        <v>495505368</v>
      </c>
      <c r="F169" s="40">
        <v>495505368</v>
      </c>
      <c r="G169" s="40">
        <v>80867200</v>
      </c>
      <c r="H169" s="41">
        <v>0</v>
      </c>
      <c r="I169" s="40">
        <v>40000000</v>
      </c>
      <c r="J169" s="40">
        <v>77334947</v>
      </c>
      <c r="K169" s="41">
        <v>0</v>
      </c>
      <c r="L169" s="41">
        <v>0</v>
      </c>
      <c r="M169" s="40">
        <v>195929484</v>
      </c>
      <c r="N169" s="41">
        <v>0</v>
      </c>
      <c r="O169" s="41">
        <v>0</v>
      </c>
      <c r="P169" s="40">
        <v>101373737</v>
      </c>
      <c r="Q169" s="41">
        <v>0</v>
      </c>
      <c r="R169" s="41">
        <v>0</v>
      </c>
    </row>
    <row r="170" spans="2:18" ht="24.75" x14ac:dyDescent="0.2">
      <c r="B170" s="30" t="s">
        <v>250</v>
      </c>
      <c r="C170" s="47">
        <v>40181</v>
      </c>
      <c r="D170" s="36" t="s">
        <v>189</v>
      </c>
      <c r="E170" s="38">
        <v>52120000</v>
      </c>
      <c r="F170" s="38">
        <v>52120000</v>
      </c>
      <c r="G170" s="38">
        <v>3479000</v>
      </c>
      <c r="H170" s="38">
        <v>3478000</v>
      </c>
      <c r="I170" s="38">
        <v>3478000</v>
      </c>
      <c r="J170" s="38">
        <v>3508000</v>
      </c>
      <c r="K170" s="38">
        <v>3518000</v>
      </c>
      <c r="L170" s="38">
        <v>3387000</v>
      </c>
      <c r="M170" s="38">
        <v>5212000</v>
      </c>
      <c r="N170" s="38">
        <v>5212000</v>
      </c>
      <c r="O170" s="38">
        <v>5212000</v>
      </c>
      <c r="P170" s="38">
        <v>5212000</v>
      </c>
      <c r="Q170" s="38">
        <v>5212000</v>
      </c>
      <c r="R170" s="38">
        <v>5212000</v>
      </c>
    </row>
    <row r="171" spans="2:18" x14ac:dyDescent="0.2">
      <c r="B171" s="30" t="s">
        <v>250</v>
      </c>
      <c r="C171" s="32" t="s">
        <v>190</v>
      </c>
      <c r="D171" s="32" t="s">
        <v>191</v>
      </c>
      <c r="E171" s="33">
        <v>52120000</v>
      </c>
      <c r="F171" s="33">
        <v>52120000</v>
      </c>
      <c r="G171" s="33">
        <v>3479000</v>
      </c>
      <c r="H171" s="33">
        <v>3478000</v>
      </c>
      <c r="I171" s="33">
        <v>3478000</v>
      </c>
      <c r="J171" s="33">
        <v>3508000</v>
      </c>
      <c r="K171" s="33">
        <v>3518000</v>
      </c>
      <c r="L171" s="33">
        <v>3387000</v>
      </c>
      <c r="M171" s="33">
        <v>5212000</v>
      </c>
      <c r="N171" s="33">
        <v>5212000</v>
      </c>
      <c r="O171" s="33">
        <v>5212000</v>
      </c>
      <c r="P171" s="33">
        <v>5212000</v>
      </c>
      <c r="Q171" s="33">
        <v>5212000</v>
      </c>
      <c r="R171" s="33">
        <v>5212000</v>
      </c>
    </row>
    <row r="172" spans="2:18" x14ac:dyDescent="0.2">
      <c r="B172" s="30" t="s">
        <v>250</v>
      </c>
      <c r="C172" s="39" t="s">
        <v>260</v>
      </c>
      <c r="D172" s="39" t="s">
        <v>261</v>
      </c>
      <c r="E172" s="40">
        <v>52120000</v>
      </c>
      <c r="F172" s="40">
        <v>52120000</v>
      </c>
      <c r="G172" s="40">
        <v>3479000</v>
      </c>
      <c r="H172" s="40">
        <v>3478000</v>
      </c>
      <c r="I172" s="40">
        <v>3478000</v>
      </c>
      <c r="J172" s="40">
        <v>3508000</v>
      </c>
      <c r="K172" s="40">
        <v>3518000</v>
      </c>
      <c r="L172" s="40">
        <v>3387000</v>
      </c>
      <c r="M172" s="40">
        <v>5212000</v>
      </c>
      <c r="N172" s="40">
        <v>5212000</v>
      </c>
      <c r="O172" s="40">
        <v>5212000</v>
      </c>
      <c r="P172" s="40">
        <v>5212000</v>
      </c>
      <c r="Q172" s="40">
        <v>5212000</v>
      </c>
      <c r="R172" s="40">
        <v>5212000</v>
      </c>
    </row>
    <row r="173" spans="2:18" ht="16.5" x14ac:dyDescent="0.2">
      <c r="C173" s="30" t="s">
        <v>262</v>
      </c>
      <c r="D173" s="30" t="s">
        <v>263</v>
      </c>
      <c r="E173" s="31">
        <v>5835233258</v>
      </c>
      <c r="F173" s="31">
        <v>5835233258</v>
      </c>
      <c r="G173" s="31">
        <v>225969198</v>
      </c>
      <c r="H173" s="31">
        <v>271842382</v>
      </c>
      <c r="I173" s="31">
        <v>483089745</v>
      </c>
      <c r="J173" s="31">
        <v>419605108</v>
      </c>
      <c r="K173" s="31">
        <v>420200608</v>
      </c>
      <c r="L173" s="31">
        <v>449124487</v>
      </c>
      <c r="M173" s="31">
        <v>1385163590</v>
      </c>
      <c r="N173" s="31">
        <v>563512818</v>
      </c>
      <c r="O173" s="31">
        <v>543745118</v>
      </c>
      <c r="P173" s="31">
        <v>576743418</v>
      </c>
      <c r="Q173" s="31">
        <v>255506863</v>
      </c>
      <c r="R173" s="31">
        <v>240729923</v>
      </c>
    </row>
    <row r="174" spans="2:18" ht="33" x14ac:dyDescent="0.2">
      <c r="B174" s="30" t="s">
        <v>262</v>
      </c>
      <c r="C174" s="32" t="s">
        <v>84</v>
      </c>
      <c r="D174" s="36" t="s">
        <v>85</v>
      </c>
      <c r="E174" s="33">
        <v>5835233258</v>
      </c>
      <c r="F174" s="33">
        <v>5835233258</v>
      </c>
      <c r="G174" s="33">
        <v>225969198</v>
      </c>
      <c r="H174" s="33">
        <v>271842382</v>
      </c>
      <c r="I174" s="33">
        <v>483089745</v>
      </c>
      <c r="J174" s="33">
        <v>419605108</v>
      </c>
      <c r="K174" s="33">
        <v>420200608</v>
      </c>
      <c r="L174" s="33">
        <v>449124487</v>
      </c>
      <c r="M174" s="33">
        <v>1385163590</v>
      </c>
      <c r="N174" s="33">
        <v>563512818</v>
      </c>
      <c r="O174" s="33">
        <v>543745118</v>
      </c>
      <c r="P174" s="33">
        <v>576743418</v>
      </c>
      <c r="Q174" s="33">
        <v>255506863</v>
      </c>
      <c r="R174" s="33">
        <v>240729923</v>
      </c>
    </row>
    <row r="175" spans="2:18" ht="33" x14ac:dyDescent="0.2">
      <c r="B175" s="30" t="s">
        <v>262</v>
      </c>
      <c r="C175" s="34">
        <v>36894</v>
      </c>
      <c r="D175" s="36" t="s">
        <v>39</v>
      </c>
      <c r="E175" s="33">
        <v>598751848</v>
      </c>
      <c r="F175" s="33">
        <v>598751848</v>
      </c>
      <c r="G175" s="33">
        <v>24021412</v>
      </c>
      <c r="H175" s="33">
        <v>69894596</v>
      </c>
      <c r="I175" s="33">
        <v>54194173</v>
      </c>
      <c r="J175" s="33">
        <v>31697922</v>
      </c>
      <c r="K175" s="33">
        <v>32293422</v>
      </c>
      <c r="L175" s="33">
        <v>61217301</v>
      </c>
      <c r="M175" s="33">
        <v>104293452</v>
      </c>
      <c r="N175" s="33">
        <v>57197922</v>
      </c>
      <c r="O175" s="33">
        <v>37430222</v>
      </c>
      <c r="P175" s="33">
        <v>70427922</v>
      </c>
      <c r="Q175" s="33">
        <v>30430222</v>
      </c>
      <c r="R175" s="33">
        <v>25653282</v>
      </c>
    </row>
    <row r="176" spans="2:18" ht="16.5" x14ac:dyDescent="0.2">
      <c r="B176" s="30" t="s">
        <v>262</v>
      </c>
      <c r="C176" s="32" t="s">
        <v>105</v>
      </c>
      <c r="D176" s="32" t="s">
        <v>42</v>
      </c>
      <c r="E176" s="33">
        <v>74022974</v>
      </c>
      <c r="F176" s="33">
        <v>74022974</v>
      </c>
      <c r="G176" s="46">
        <v>0</v>
      </c>
      <c r="H176" s="33">
        <v>5873184</v>
      </c>
      <c r="I176" s="33">
        <v>9213410</v>
      </c>
      <c r="J176" s="33">
        <v>7676510</v>
      </c>
      <c r="K176" s="33">
        <v>6872010</v>
      </c>
      <c r="L176" s="33">
        <v>8213310</v>
      </c>
      <c r="M176" s="33">
        <v>5872040</v>
      </c>
      <c r="N176" s="33">
        <v>8176510</v>
      </c>
      <c r="O176" s="33">
        <v>6408810</v>
      </c>
      <c r="P176" s="33">
        <v>7676510</v>
      </c>
      <c r="Q176" s="33">
        <v>6408810</v>
      </c>
      <c r="R176" s="33">
        <v>1631870</v>
      </c>
    </row>
    <row r="177" spans="2:18" x14ac:dyDescent="0.2">
      <c r="B177" s="30" t="s">
        <v>262</v>
      </c>
      <c r="C177" s="39" t="s">
        <v>107</v>
      </c>
      <c r="D177" s="39" t="s">
        <v>44</v>
      </c>
      <c r="E177" s="40">
        <v>35061174</v>
      </c>
      <c r="F177" s="40">
        <v>35061174</v>
      </c>
      <c r="G177" s="41">
        <v>0</v>
      </c>
      <c r="H177" s="40">
        <v>2354914</v>
      </c>
      <c r="I177" s="40">
        <v>5158340</v>
      </c>
      <c r="J177" s="40">
        <v>4158240</v>
      </c>
      <c r="K177" s="40">
        <v>3353740</v>
      </c>
      <c r="L177" s="40">
        <v>4158240</v>
      </c>
      <c r="M177" s="40">
        <v>2353740</v>
      </c>
      <c r="N177" s="40">
        <v>4658240</v>
      </c>
      <c r="O177" s="40">
        <v>2353740</v>
      </c>
      <c r="P177" s="40">
        <v>4158240</v>
      </c>
      <c r="Q177" s="40">
        <v>2353740</v>
      </c>
      <c r="R177" s="41">
        <v>0</v>
      </c>
    </row>
    <row r="178" spans="2:18" ht="16.5" x14ac:dyDescent="0.2">
      <c r="B178" s="30" t="s">
        <v>262</v>
      </c>
      <c r="C178" s="39" t="s">
        <v>112</v>
      </c>
      <c r="D178" s="39" t="s">
        <v>80</v>
      </c>
      <c r="E178" s="40">
        <v>38961800</v>
      </c>
      <c r="F178" s="40">
        <v>38961800</v>
      </c>
      <c r="G178" s="41">
        <v>0</v>
      </c>
      <c r="H178" s="40">
        <v>3518270</v>
      </c>
      <c r="I178" s="40">
        <v>4055070</v>
      </c>
      <c r="J178" s="40">
        <v>3518270</v>
      </c>
      <c r="K178" s="40">
        <v>3518270</v>
      </c>
      <c r="L178" s="40">
        <v>4055070</v>
      </c>
      <c r="M178" s="40">
        <v>3518300</v>
      </c>
      <c r="N178" s="40">
        <v>3518270</v>
      </c>
      <c r="O178" s="40">
        <v>4055070</v>
      </c>
      <c r="P178" s="40">
        <v>3518270</v>
      </c>
      <c r="Q178" s="40">
        <v>4055070</v>
      </c>
      <c r="R178" s="40">
        <v>1631870</v>
      </c>
    </row>
    <row r="179" spans="2:18" ht="24.75" x14ac:dyDescent="0.2">
      <c r="B179" s="30" t="s">
        <v>262</v>
      </c>
      <c r="C179" s="32" t="s">
        <v>118</v>
      </c>
      <c r="D179" s="36" t="s">
        <v>46</v>
      </c>
      <c r="E179" s="33">
        <v>71200000</v>
      </c>
      <c r="F179" s="33">
        <v>71200000</v>
      </c>
      <c r="G179" s="46">
        <v>0</v>
      </c>
      <c r="H179" s="46">
        <v>0</v>
      </c>
      <c r="I179" s="46">
        <v>0</v>
      </c>
      <c r="J179" s="46">
        <v>0</v>
      </c>
      <c r="K179" s="46">
        <v>0</v>
      </c>
      <c r="L179" s="46">
        <v>0</v>
      </c>
      <c r="M179" s="33">
        <v>71200000</v>
      </c>
      <c r="N179" s="46">
        <v>0</v>
      </c>
      <c r="O179" s="46">
        <v>0</v>
      </c>
      <c r="P179" s="46">
        <v>0</v>
      </c>
      <c r="Q179" s="46">
        <v>0</v>
      </c>
      <c r="R179" s="46">
        <v>0</v>
      </c>
    </row>
    <row r="180" spans="2:18" ht="16.5" x14ac:dyDescent="0.2">
      <c r="B180" s="30" t="s">
        <v>262</v>
      </c>
      <c r="C180" s="42" t="s">
        <v>119</v>
      </c>
      <c r="D180" s="36" t="s">
        <v>120</v>
      </c>
      <c r="E180" s="43">
        <v>71200000</v>
      </c>
      <c r="F180" s="43">
        <v>71200000</v>
      </c>
      <c r="G180" s="44">
        <v>0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3">
        <v>71200000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</row>
    <row r="181" spans="2:18" ht="24.75" x14ac:dyDescent="0.2">
      <c r="B181" s="30" t="s">
        <v>262</v>
      </c>
      <c r="C181" s="32" t="s">
        <v>124</v>
      </c>
      <c r="D181" s="36" t="s">
        <v>48</v>
      </c>
      <c r="E181" s="33">
        <v>318198874</v>
      </c>
      <c r="F181" s="33">
        <v>318198874</v>
      </c>
      <c r="G181" s="33">
        <v>24021412</v>
      </c>
      <c r="H181" s="33">
        <v>24021412</v>
      </c>
      <c r="I181" s="33">
        <v>44980763</v>
      </c>
      <c r="J181" s="33">
        <v>24021412</v>
      </c>
      <c r="K181" s="33">
        <v>24021412</v>
      </c>
      <c r="L181" s="33">
        <v>33003991</v>
      </c>
      <c r="M181" s="33">
        <v>24021412</v>
      </c>
      <c r="N181" s="33">
        <v>24021412</v>
      </c>
      <c r="O181" s="33">
        <v>24021412</v>
      </c>
      <c r="P181" s="33">
        <v>24021412</v>
      </c>
      <c r="Q181" s="33">
        <v>24021412</v>
      </c>
      <c r="R181" s="33">
        <v>24021412</v>
      </c>
    </row>
    <row r="182" spans="2:18" ht="16.5" x14ac:dyDescent="0.2">
      <c r="B182" s="30" t="s">
        <v>262</v>
      </c>
      <c r="C182" s="42" t="s">
        <v>126</v>
      </c>
      <c r="D182" s="36" t="s">
        <v>50</v>
      </c>
      <c r="E182" s="43">
        <v>16020000</v>
      </c>
      <c r="F182" s="43">
        <v>16020000</v>
      </c>
      <c r="G182" s="43">
        <v>1335000</v>
      </c>
      <c r="H182" s="43">
        <v>1335000</v>
      </c>
      <c r="I182" s="43">
        <v>1335000</v>
      </c>
      <c r="J182" s="43">
        <v>1335000</v>
      </c>
      <c r="K182" s="43">
        <v>1335000</v>
      </c>
      <c r="L182" s="43">
        <v>1335000</v>
      </c>
      <c r="M182" s="43">
        <v>1335000</v>
      </c>
      <c r="N182" s="43">
        <v>1335000</v>
      </c>
      <c r="O182" s="43">
        <v>1335000</v>
      </c>
      <c r="P182" s="43">
        <v>1335000</v>
      </c>
      <c r="Q182" s="43">
        <v>1335000</v>
      </c>
      <c r="R182" s="43">
        <v>1335000</v>
      </c>
    </row>
    <row r="183" spans="2:18" x14ac:dyDescent="0.2">
      <c r="B183" s="30" t="s">
        <v>262</v>
      </c>
      <c r="C183" s="39" t="s">
        <v>128</v>
      </c>
      <c r="D183" s="39" t="s">
        <v>255</v>
      </c>
      <c r="E183" s="40">
        <v>302178874</v>
      </c>
      <c r="F183" s="40">
        <v>302178874</v>
      </c>
      <c r="G183" s="40">
        <v>22686412</v>
      </c>
      <c r="H183" s="40">
        <v>22686412</v>
      </c>
      <c r="I183" s="40">
        <v>43645763</v>
      </c>
      <c r="J183" s="40">
        <v>22686412</v>
      </c>
      <c r="K183" s="40">
        <v>22686412</v>
      </c>
      <c r="L183" s="40">
        <v>31668991</v>
      </c>
      <c r="M183" s="40">
        <v>22686412</v>
      </c>
      <c r="N183" s="40">
        <v>22686412</v>
      </c>
      <c r="O183" s="40">
        <v>22686412</v>
      </c>
      <c r="P183" s="40">
        <v>22686412</v>
      </c>
      <c r="Q183" s="40">
        <v>22686412</v>
      </c>
      <c r="R183" s="40">
        <v>22686412</v>
      </c>
    </row>
    <row r="184" spans="2:18" ht="33" x14ac:dyDescent="0.2">
      <c r="B184" s="30" t="s">
        <v>262</v>
      </c>
      <c r="C184" s="32" t="s">
        <v>129</v>
      </c>
      <c r="D184" s="36" t="s">
        <v>264</v>
      </c>
      <c r="E184" s="33">
        <v>135330000</v>
      </c>
      <c r="F184" s="33">
        <v>135330000</v>
      </c>
      <c r="G184" s="46">
        <v>0</v>
      </c>
      <c r="H184" s="33">
        <v>40000000</v>
      </c>
      <c r="I184" s="46">
        <v>0</v>
      </c>
      <c r="J184" s="46">
        <v>0</v>
      </c>
      <c r="K184" s="33">
        <v>1400000</v>
      </c>
      <c r="L184" s="33">
        <v>20000000</v>
      </c>
      <c r="M184" s="33">
        <v>3200000</v>
      </c>
      <c r="N184" s="33">
        <v>25000000</v>
      </c>
      <c r="O184" s="33">
        <v>7000000</v>
      </c>
      <c r="P184" s="33">
        <v>38730000</v>
      </c>
      <c r="Q184" s="46">
        <v>0</v>
      </c>
      <c r="R184" s="46">
        <v>0</v>
      </c>
    </row>
    <row r="185" spans="2:18" ht="33" x14ac:dyDescent="0.2">
      <c r="B185" s="30" t="s">
        <v>262</v>
      </c>
      <c r="C185" s="42" t="s">
        <v>130</v>
      </c>
      <c r="D185" s="39" t="s">
        <v>265</v>
      </c>
      <c r="E185" s="43">
        <v>119730000</v>
      </c>
      <c r="F185" s="43">
        <v>119730000</v>
      </c>
      <c r="G185" s="44">
        <v>0</v>
      </c>
      <c r="H185" s="43">
        <v>40000000</v>
      </c>
      <c r="I185" s="44">
        <v>0</v>
      </c>
      <c r="J185" s="44">
        <v>0</v>
      </c>
      <c r="K185" s="43">
        <v>1400000</v>
      </c>
      <c r="L185" s="43">
        <v>20000000</v>
      </c>
      <c r="M185" s="43">
        <v>3200000</v>
      </c>
      <c r="N185" s="43">
        <v>25000000</v>
      </c>
      <c r="O185" s="43">
        <v>7000000</v>
      </c>
      <c r="P185" s="43">
        <v>23130000</v>
      </c>
      <c r="Q185" s="44">
        <v>0</v>
      </c>
      <c r="R185" s="44">
        <v>0</v>
      </c>
    </row>
    <row r="186" spans="2:18" x14ac:dyDescent="0.2">
      <c r="B186" s="30" t="s">
        <v>262</v>
      </c>
      <c r="C186" s="57" t="s">
        <v>52</v>
      </c>
      <c r="D186" s="60" t="s">
        <v>53</v>
      </c>
      <c r="E186" s="63" t="s">
        <v>54</v>
      </c>
      <c r="F186" s="66" t="s">
        <v>55</v>
      </c>
      <c r="G186" s="69" t="s">
        <v>56</v>
      </c>
      <c r="H186" s="70"/>
      <c r="I186" s="70"/>
      <c r="J186" s="70"/>
      <c r="K186" s="70"/>
      <c r="L186" s="71"/>
      <c r="M186" s="69" t="s">
        <v>57</v>
      </c>
      <c r="N186" s="70"/>
      <c r="O186" s="70"/>
      <c r="P186" s="70"/>
      <c r="Q186" s="70"/>
      <c r="R186" s="71"/>
    </row>
    <row r="187" spans="2:18" x14ac:dyDescent="0.2">
      <c r="B187" s="30" t="s">
        <v>262</v>
      </c>
      <c r="C187" s="58"/>
      <c r="D187" s="61"/>
      <c r="E187" s="64"/>
      <c r="F187" s="67"/>
      <c r="G187" s="69" t="s">
        <v>58</v>
      </c>
      <c r="H187" s="70"/>
      <c r="I187" s="71"/>
      <c r="J187" s="69" t="s">
        <v>59</v>
      </c>
      <c r="K187" s="70"/>
      <c r="L187" s="71"/>
      <c r="M187" s="69" t="s">
        <v>60</v>
      </c>
      <c r="N187" s="70"/>
      <c r="O187" s="71"/>
      <c r="P187" s="69" t="s">
        <v>61</v>
      </c>
      <c r="Q187" s="70"/>
      <c r="R187" s="71"/>
    </row>
    <row r="188" spans="2:18" x14ac:dyDescent="0.2">
      <c r="B188" s="30" t="s">
        <v>262</v>
      </c>
      <c r="C188" s="59"/>
      <c r="D188" s="62"/>
      <c r="E188" s="65"/>
      <c r="F188" s="68"/>
      <c r="G188" s="28" t="s">
        <v>62</v>
      </c>
      <c r="H188" s="28" t="s">
        <v>63</v>
      </c>
      <c r="I188" s="29" t="s">
        <v>64</v>
      </c>
      <c r="J188" s="29" t="s">
        <v>65</v>
      </c>
      <c r="K188" s="29" t="s">
        <v>66</v>
      </c>
      <c r="L188" s="29" t="s">
        <v>67</v>
      </c>
      <c r="M188" s="29" t="s">
        <v>68</v>
      </c>
      <c r="N188" s="28" t="s">
        <v>69</v>
      </c>
      <c r="O188" s="28" t="s">
        <v>70</v>
      </c>
      <c r="P188" s="28" t="s">
        <v>71</v>
      </c>
      <c r="Q188" s="28" t="s">
        <v>72</v>
      </c>
      <c r="R188" s="28" t="s">
        <v>73</v>
      </c>
    </row>
    <row r="189" spans="2:18" ht="16.5" x14ac:dyDescent="0.2">
      <c r="B189" s="30" t="s">
        <v>262</v>
      </c>
      <c r="C189" s="39" t="s">
        <v>134</v>
      </c>
      <c r="D189" s="39" t="s">
        <v>81</v>
      </c>
      <c r="E189" s="40">
        <v>15600000</v>
      </c>
      <c r="F189" s="40">
        <v>15600000</v>
      </c>
      <c r="G189" s="41">
        <v>0</v>
      </c>
      <c r="H189" s="41">
        <v>0</v>
      </c>
      <c r="I189" s="41">
        <v>0</v>
      </c>
      <c r="J189" s="41">
        <v>0</v>
      </c>
      <c r="K189" s="41">
        <v>0</v>
      </c>
      <c r="L189" s="41">
        <v>0</v>
      </c>
      <c r="M189" s="41">
        <v>0</v>
      </c>
      <c r="N189" s="41">
        <v>0</v>
      </c>
      <c r="O189" s="41">
        <v>0</v>
      </c>
      <c r="P189" s="40">
        <v>15600000</v>
      </c>
      <c r="Q189" s="41">
        <v>0</v>
      </c>
      <c r="R189" s="41">
        <v>0</v>
      </c>
    </row>
    <row r="190" spans="2:18" ht="24.75" x14ac:dyDescent="0.2">
      <c r="B190" s="30" t="s">
        <v>262</v>
      </c>
      <c r="C190" s="34">
        <v>40181</v>
      </c>
      <c r="D190" s="36" t="s">
        <v>189</v>
      </c>
      <c r="E190" s="33">
        <v>5236481410</v>
      </c>
      <c r="F190" s="33">
        <v>5236481410</v>
      </c>
      <c r="G190" s="33">
        <v>201947786</v>
      </c>
      <c r="H190" s="33">
        <v>201947786</v>
      </c>
      <c r="I190" s="33">
        <v>428895572</v>
      </c>
      <c r="J190" s="33">
        <v>387907186</v>
      </c>
      <c r="K190" s="33">
        <v>387907186</v>
      </c>
      <c r="L190" s="33">
        <v>387907186</v>
      </c>
      <c r="M190" s="33">
        <v>1280870138</v>
      </c>
      <c r="N190" s="33">
        <v>506314896</v>
      </c>
      <c r="O190" s="33">
        <v>506314896</v>
      </c>
      <c r="P190" s="33">
        <v>506315496</v>
      </c>
      <c r="Q190" s="33">
        <v>225076641</v>
      </c>
      <c r="R190" s="33">
        <v>215076641</v>
      </c>
    </row>
    <row r="191" spans="2:18" x14ac:dyDescent="0.2">
      <c r="B191" s="30" t="s">
        <v>262</v>
      </c>
      <c r="C191" s="32" t="s">
        <v>190</v>
      </c>
      <c r="D191" s="32" t="s">
        <v>191</v>
      </c>
      <c r="E191" s="33">
        <v>5236481410</v>
      </c>
      <c r="F191" s="33">
        <v>5236481410</v>
      </c>
      <c r="G191" s="33">
        <v>201947786</v>
      </c>
      <c r="H191" s="33">
        <v>201947786</v>
      </c>
      <c r="I191" s="33">
        <v>428895572</v>
      </c>
      <c r="J191" s="33">
        <v>387907186</v>
      </c>
      <c r="K191" s="33">
        <v>387907186</v>
      </c>
      <c r="L191" s="33">
        <v>387907186</v>
      </c>
      <c r="M191" s="33">
        <v>1280870138</v>
      </c>
      <c r="N191" s="33">
        <v>506314896</v>
      </c>
      <c r="O191" s="33">
        <v>506314896</v>
      </c>
      <c r="P191" s="33">
        <v>506315496</v>
      </c>
      <c r="Q191" s="33">
        <v>225076641</v>
      </c>
      <c r="R191" s="33">
        <v>215076641</v>
      </c>
    </row>
    <row r="192" spans="2:18" x14ac:dyDescent="0.2">
      <c r="B192" s="30" t="s">
        <v>262</v>
      </c>
      <c r="C192" s="39" t="s">
        <v>260</v>
      </c>
      <c r="D192" s="39" t="s">
        <v>261</v>
      </c>
      <c r="E192" s="40">
        <v>4338032392</v>
      </c>
      <c r="F192" s="40">
        <v>4338032392</v>
      </c>
      <c r="G192" s="40">
        <v>195959400</v>
      </c>
      <c r="H192" s="40">
        <v>195959400</v>
      </c>
      <c r="I192" s="40">
        <v>416918800</v>
      </c>
      <c r="J192" s="40">
        <v>381918800</v>
      </c>
      <c r="K192" s="40">
        <v>381918800</v>
      </c>
      <c r="L192" s="40">
        <v>381918800</v>
      </c>
      <c r="M192" s="40">
        <v>657231752</v>
      </c>
      <c r="N192" s="40">
        <v>432676510</v>
      </c>
      <c r="O192" s="40">
        <v>432676510</v>
      </c>
      <c r="P192" s="40">
        <v>432677110</v>
      </c>
      <c r="Q192" s="40">
        <v>219088255</v>
      </c>
      <c r="R192" s="40">
        <v>209088255</v>
      </c>
    </row>
    <row r="193" spans="2:18" x14ac:dyDescent="0.2">
      <c r="B193" s="30" t="s">
        <v>262</v>
      </c>
      <c r="C193" s="39" t="s">
        <v>266</v>
      </c>
      <c r="D193" s="39" t="s">
        <v>267</v>
      </c>
      <c r="E193" s="40">
        <v>550000000</v>
      </c>
      <c r="F193" s="40">
        <v>550000000</v>
      </c>
      <c r="G193" s="41">
        <v>0</v>
      </c>
      <c r="H193" s="41">
        <v>0</v>
      </c>
      <c r="I193" s="41">
        <v>0</v>
      </c>
      <c r="J193" s="41">
        <v>0</v>
      </c>
      <c r="K193" s="41">
        <v>0</v>
      </c>
      <c r="L193" s="41">
        <v>0</v>
      </c>
      <c r="M193" s="40">
        <v>550000000</v>
      </c>
      <c r="N193" s="41">
        <v>0</v>
      </c>
      <c r="O193" s="41">
        <v>0</v>
      </c>
      <c r="P193" s="41">
        <v>0</v>
      </c>
      <c r="Q193" s="41">
        <v>0</v>
      </c>
      <c r="R193" s="41">
        <v>0</v>
      </c>
    </row>
    <row r="194" spans="2:18" x14ac:dyDescent="0.2">
      <c r="B194" s="30" t="s">
        <v>262</v>
      </c>
      <c r="C194" s="39" t="s">
        <v>268</v>
      </c>
      <c r="D194" s="39" t="s">
        <v>269</v>
      </c>
      <c r="E194" s="40">
        <v>270600000</v>
      </c>
      <c r="F194" s="40">
        <v>270600000</v>
      </c>
      <c r="G194" s="41">
        <v>0</v>
      </c>
      <c r="H194" s="41">
        <v>0</v>
      </c>
      <c r="I194" s="41">
        <v>0</v>
      </c>
      <c r="J194" s="41">
        <v>0</v>
      </c>
      <c r="K194" s="41">
        <v>0</v>
      </c>
      <c r="L194" s="41">
        <v>0</v>
      </c>
      <c r="M194" s="40">
        <v>67650000</v>
      </c>
      <c r="N194" s="40">
        <v>67650000</v>
      </c>
      <c r="O194" s="40">
        <v>67650000</v>
      </c>
      <c r="P194" s="40">
        <v>67650000</v>
      </c>
      <c r="Q194" s="41">
        <v>0</v>
      </c>
      <c r="R194" s="41">
        <v>0</v>
      </c>
    </row>
    <row r="195" spans="2:18" ht="24.75" x14ac:dyDescent="0.2">
      <c r="B195" s="30" t="s">
        <v>262</v>
      </c>
      <c r="C195" s="39" t="s">
        <v>214</v>
      </c>
      <c r="D195" s="36" t="s">
        <v>270</v>
      </c>
      <c r="E195" s="40">
        <v>77849018</v>
      </c>
      <c r="F195" s="40">
        <v>77849018</v>
      </c>
      <c r="G195" s="40">
        <v>5988386</v>
      </c>
      <c r="H195" s="40">
        <v>5988386</v>
      </c>
      <c r="I195" s="40">
        <v>11976772</v>
      </c>
      <c r="J195" s="40">
        <v>5988386</v>
      </c>
      <c r="K195" s="40">
        <v>5988386</v>
      </c>
      <c r="L195" s="40">
        <v>5988386</v>
      </c>
      <c r="M195" s="40">
        <v>5988386</v>
      </c>
      <c r="N195" s="40">
        <v>5988386</v>
      </c>
      <c r="O195" s="40">
        <v>5988386</v>
      </c>
      <c r="P195" s="40">
        <v>5988386</v>
      </c>
      <c r="Q195" s="40">
        <v>5988386</v>
      </c>
      <c r="R195" s="40">
        <v>5988386</v>
      </c>
    </row>
    <row r="196" spans="2:18" ht="16.5" x14ac:dyDescent="0.2">
      <c r="C196" s="30" t="s">
        <v>271</v>
      </c>
      <c r="D196" s="30" t="s">
        <v>272</v>
      </c>
      <c r="E196" s="31">
        <v>3969813651</v>
      </c>
      <c r="F196" s="31">
        <v>3969813651</v>
      </c>
      <c r="G196" s="31">
        <v>84332639</v>
      </c>
      <c r="H196" s="31">
        <v>84332639</v>
      </c>
      <c r="I196" s="31">
        <v>437838887</v>
      </c>
      <c r="J196" s="31">
        <v>298811826</v>
      </c>
      <c r="K196" s="31">
        <v>325035856</v>
      </c>
      <c r="L196" s="31">
        <v>357284809</v>
      </c>
      <c r="M196" s="31">
        <v>449538556</v>
      </c>
      <c r="N196" s="31">
        <v>461722509</v>
      </c>
      <c r="O196" s="31">
        <v>430059781</v>
      </c>
      <c r="P196" s="31">
        <v>432475556</v>
      </c>
      <c r="Q196" s="31">
        <v>441692381</v>
      </c>
      <c r="R196" s="31">
        <v>166688212</v>
      </c>
    </row>
    <row r="197" spans="2:18" ht="33" x14ac:dyDescent="0.2">
      <c r="B197" s="30" t="s">
        <v>271</v>
      </c>
      <c r="C197" s="32" t="s">
        <v>84</v>
      </c>
      <c r="D197" s="36" t="s">
        <v>85</v>
      </c>
      <c r="E197" s="33">
        <v>3969813651</v>
      </c>
      <c r="F197" s="33">
        <v>3969813651</v>
      </c>
      <c r="G197" s="33">
        <v>84332639</v>
      </c>
      <c r="H197" s="33">
        <v>84332639</v>
      </c>
      <c r="I197" s="33">
        <v>437838887</v>
      </c>
      <c r="J197" s="33">
        <v>298811826</v>
      </c>
      <c r="K197" s="33">
        <v>325035856</v>
      </c>
      <c r="L197" s="33">
        <v>357284809</v>
      </c>
      <c r="M197" s="33">
        <v>449538556</v>
      </c>
      <c r="N197" s="33">
        <v>461722509</v>
      </c>
      <c r="O197" s="33">
        <v>430059781</v>
      </c>
      <c r="P197" s="33">
        <v>432475556</v>
      </c>
      <c r="Q197" s="33">
        <v>441692381</v>
      </c>
      <c r="R197" s="33">
        <v>166688212</v>
      </c>
    </row>
    <row r="198" spans="2:18" ht="24.75" x14ac:dyDescent="0.2">
      <c r="B198" s="30" t="s">
        <v>271</v>
      </c>
      <c r="C198" s="34">
        <v>36894</v>
      </c>
      <c r="D198" s="32" t="s">
        <v>252</v>
      </c>
      <c r="E198" s="33">
        <v>539649784</v>
      </c>
      <c r="F198" s="33">
        <v>539649784</v>
      </c>
      <c r="G198" s="33">
        <v>24969192</v>
      </c>
      <c r="H198" s="33">
        <v>24969192</v>
      </c>
      <c r="I198" s="33">
        <v>107636561</v>
      </c>
      <c r="J198" s="33">
        <v>33725379</v>
      </c>
      <c r="K198" s="33">
        <v>36052109</v>
      </c>
      <c r="L198" s="33">
        <v>89198362</v>
      </c>
      <c r="M198" s="33">
        <v>37452109</v>
      </c>
      <c r="N198" s="33">
        <v>49948647</v>
      </c>
      <c r="O198" s="33">
        <v>30696334</v>
      </c>
      <c r="P198" s="33">
        <v>33112109</v>
      </c>
      <c r="Q198" s="33">
        <v>42328934</v>
      </c>
      <c r="R198" s="33">
        <v>29560856</v>
      </c>
    </row>
    <row r="199" spans="2:18" ht="16.5" x14ac:dyDescent="0.2">
      <c r="B199" s="30" t="s">
        <v>271</v>
      </c>
      <c r="C199" s="32" t="s">
        <v>105</v>
      </c>
      <c r="D199" s="32" t="s">
        <v>42</v>
      </c>
      <c r="E199" s="33">
        <v>69135778</v>
      </c>
      <c r="F199" s="33">
        <v>69135778</v>
      </c>
      <c r="G199" s="46">
        <v>0</v>
      </c>
      <c r="H199" s="46">
        <v>0</v>
      </c>
      <c r="I199" s="33">
        <v>19018825</v>
      </c>
      <c r="J199" s="33">
        <v>6533270</v>
      </c>
      <c r="K199" s="33">
        <v>7760000</v>
      </c>
      <c r="L199" s="33">
        <v>9746095</v>
      </c>
      <c r="M199" s="33">
        <v>7760000</v>
      </c>
      <c r="N199" s="33">
        <v>12756538</v>
      </c>
      <c r="O199" s="33">
        <v>3504225</v>
      </c>
      <c r="P199" s="33">
        <v>920000</v>
      </c>
      <c r="Q199" s="33">
        <v>1136825</v>
      </c>
      <c r="R199" s="46">
        <v>0</v>
      </c>
    </row>
    <row r="200" spans="2:18" x14ac:dyDescent="0.2">
      <c r="B200" s="30" t="s">
        <v>271</v>
      </c>
      <c r="C200" s="39" t="s">
        <v>107</v>
      </c>
      <c r="D200" s="39" t="s">
        <v>44</v>
      </c>
      <c r="E200" s="40">
        <v>13762700</v>
      </c>
      <c r="F200" s="40">
        <v>13762700</v>
      </c>
      <c r="G200" s="41">
        <v>0</v>
      </c>
      <c r="H200" s="41">
        <v>0</v>
      </c>
      <c r="I200" s="40">
        <v>5308825</v>
      </c>
      <c r="J200" s="41">
        <v>0</v>
      </c>
      <c r="K200" s="41">
        <v>0</v>
      </c>
      <c r="L200" s="40">
        <v>3812825</v>
      </c>
      <c r="M200" s="41">
        <v>0</v>
      </c>
      <c r="N200" s="41">
        <v>0</v>
      </c>
      <c r="O200" s="40">
        <v>3504225</v>
      </c>
      <c r="P200" s="41">
        <v>0</v>
      </c>
      <c r="Q200" s="40">
        <v>1136825</v>
      </c>
      <c r="R200" s="41">
        <v>0</v>
      </c>
    </row>
    <row r="201" spans="2:18" ht="16.5" x14ac:dyDescent="0.2">
      <c r="B201" s="30" t="s">
        <v>271</v>
      </c>
      <c r="C201" s="42" t="s">
        <v>112</v>
      </c>
      <c r="D201" s="36" t="s">
        <v>113</v>
      </c>
      <c r="E201" s="43">
        <v>55373078</v>
      </c>
      <c r="F201" s="43">
        <v>55373078</v>
      </c>
      <c r="G201" s="44">
        <v>0</v>
      </c>
      <c r="H201" s="44">
        <v>0</v>
      </c>
      <c r="I201" s="43">
        <v>13710000</v>
      </c>
      <c r="J201" s="43">
        <v>6533270</v>
      </c>
      <c r="K201" s="43">
        <v>7760000</v>
      </c>
      <c r="L201" s="43">
        <v>5933270</v>
      </c>
      <c r="M201" s="43">
        <v>7760000</v>
      </c>
      <c r="N201" s="43">
        <v>12756538</v>
      </c>
      <c r="O201" s="44">
        <v>0</v>
      </c>
      <c r="P201" s="43">
        <v>920000</v>
      </c>
      <c r="Q201" s="44">
        <v>0</v>
      </c>
      <c r="R201" s="44">
        <v>0</v>
      </c>
    </row>
    <row r="202" spans="2:18" ht="24.75" x14ac:dyDescent="0.2">
      <c r="B202" s="30" t="s">
        <v>271</v>
      </c>
      <c r="C202" s="32" t="s">
        <v>124</v>
      </c>
      <c r="D202" s="36" t="s">
        <v>48</v>
      </c>
      <c r="E202" s="33">
        <v>366824006</v>
      </c>
      <c r="F202" s="33">
        <v>366824006</v>
      </c>
      <c r="G202" s="33">
        <v>24969192</v>
      </c>
      <c r="H202" s="33">
        <v>24969192</v>
      </c>
      <c r="I202" s="33">
        <v>54322736</v>
      </c>
      <c r="J202" s="33">
        <v>27192109</v>
      </c>
      <c r="K202" s="33">
        <v>27192109</v>
      </c>
      <c r="L202" s="33">
        <v>45157267</v>
      </c>
      <c r="M202" s="33">
        <v>27192109</v>
      </c>
      <c r="N202" s="33">
        <v>27192109</v>
      </c>
      <c r="O202" s="33">
        <v>27192109</v>
      </c>
      <c r="P202" s="33">
        <v>27192109</v>
      </c>
      <c r="Q202" s="33">
        <v>27192109</v>
      </c>
      <c r="R202" s="33">
        <v>27060856</v>
      </c>
    </row>
    <row r="203" spans="2:18" ht="16.5" x14ac:dyDescent="0.2">
      <c r="B203" s="30" t="s">
        <v>271</v>
      </c>
      <c r="C203" s="42" t="s">
        <v>126</v>
      </c>
      <c r="D203" s="36" t="s">
        <v>50</v>
      </c>
      <c r="E203" s="43">
        <v>25275000</v>
      </c>
      <c r="F203" s="43">
        <v>25275000</v>
      </c>
      <c r="G203" s="44">
        <v>0</v>
      </c>
      <c r="H203" s="44">
        <v>0</v>
      </c>
      <c r="I203" s="43">
        <v>5400000</v>
      </c>
      <c r="J203" s="43">
        <v>2222917</v>
      </c>
      <c r="K203" s="43">
        <v>2222917</v>
      </c>
      <c r="L203" s="43">
        <v>2222917</v>
      </c>
      <c r="M203" s="43">
        <v>2222917</v>
      </c>
      <c r="N203" s="43">
        <v>2222917</v>
      </c>
      <c r="O203" s="43">
        <v>2222917</v>
      </c>
      <c r="P203" s="43">
        <v>2222917</v>
      </c>
      <c r="Q203" s="43">
        <v>2222917</v>
      </c>
      <c r="R203" s="43">
        <v>2091664</v>
      </c>
    </row>
    <row r="204" spans="2:18" x14ac:dyDescent="0.2">
      <c r="B204" s="30" t="s">
        <v>271</v>
      </c>
      <c r="C204" s="39" t="s">
        <v>128</v>
      </c>
      <c r="D204" s="39" t="s">
        <v>255</v>
      </c>
      <c r="E204" s="40">
        <v>341549006</v>
      </c>
      <c r="F204" s="40">
        <v>341549006</v>
      </c>
      <c r="G204" s="40">
        <v>24969192</v>
      </c>
      <c r="H204" s="40">
        <v>24969192</v>
      </c>
      <c r="I204" s="40">
        <v>48922736</v>
      </c>
      <c r="J204" s="40">
        <v>24969192</v>
      </c>
      <c r="K204" s="40">
        <v>24969192</v>
      </c>
      <c r="L204" s="40">
        <v>42934350</v>
      </c>
      <c r="M204" s="40">
        <v>24969192</v>
      </c>
      <c r="N204" s="40">
        <v>24969192</v>
      </c>
      <c r="O204" s="40">
        <v>24969192</v>
      </c>
      <c r="P204" s="40">
        <v>24969192</v>
      </c>
      <c r="Q204" s="40">
        <v>24969192</v>
      </c>
      <c r="R204" s="40">
        <v>24969192</v>
      </c>
    </row>
    <row r="205" spans="2:18" ht="33" x14ac:dyDescent="0.2">
      <c r="B205" s="30" t="s">
        <v>271</v>
      </c>
      <c r="C205" s="32" t="s">
        <v>129</v>
      </c>
      <c r="D205" s="36" t="s">
        <v>248</v>
      </c>
      <c r="E205" s="33">
        <v>103690000</v>
      </c>
      <c r="F205" s="33">
        <v>103690000</v>
      </c>
      <c r="G205" s="46">
        <v>0</v>
      </c>
      <c r="H205" s="46">
        <v>0</v>
      </c>
      <c r="I205" s="33">
        <v>34295000</v>
      </c>
      <c r="J205" s="46">
        <v>0</v>
      </c>
      <c r="K205" s="33">
        <v>1100000</v>
      </c>
      <c r="L205" s="33">
        <v>34295000</v>
      </c>
      <c r="M205" s="33">
        <v>2500000</v>
      </c>
      <c r="N205" s="33">
        <v>10000000</v>
      </c>
      <c r="O205" s="46">
        <v>0</v>
      </c>
      <c r="P205" s="33">
        <v>5000000</v>
      </c>
      <c r="Q205" s="33">
        <v>14000000</v>
      </c>
      <c r="R205" s="33">
        <v>2500000</v>
      </c>
    </row>
    <row r="206" spans="2:18" ht="33" x14ac:dyDescent="0.2">
      <c r="B206" s="30" t="s">
        <v>271</v>
      </c>
      <c r="C206" s="42" t="s">
        <v>130</v>
      </c>
      <c r="D206" s="39" t="s">
        <v>265</v>
      </c>
      <c r="E206" s="43">
        <v>95130000</v>
      </c>
      <c r="F206" s="43">
        <v>95130000</v>
      </c>
      <c r="G206" s="44">
        <v>0</v>
      </c>
      <c r="H206" s="44">
        <v>0</v>
      </c>
      <c r="I206" s="43">
        <v>30015000</v>
      </c>
      <c r="J206" s="44">
        <v>0</v>
      </c>
      <c r="K206" s="43">
        <v>1100000</v>
      </c>
      <c r="L206" s="43">
        <v>30015000</v>
      </c>
      <c r="M206" s="43">
        <v>2500000</v>
      </c>
      <c r="N206" s="43">
        <v>10000000</v>
      </c>
      <c r="O206" s="44">
        <v>0</v>
      </c>
      <c r="P206" s="43">
        <v>5000000</v>
      </c>
      <c r="Q206" s="43">
        <v>14000000</v>
      </c>
      <c r="R206" s="43">
        <v>2500000</v>
      </c>
    </row>
    <row r="207" spans="2:18" ht="16.5" x14ac:dyDescent="0.2">
      <c r="B207" s="30" t="s">
        <v>271</v>
      </c>
      <c r="C207" s="42" t="s">
        <v>131</v>
      </c>
      <c r="D207" s="36" t="s">
        <v>76</v>
      </c>
      <c r="E207" s="43">
        <v>8560000</v>
      </c>
      <c r="F207" s="43">
        <v>8560000</v>
      </c>
      <c r="G207" s="44">
        <v>0</v>
      </c>
      <c r="H207" s="44">
        <v>0</v>
      </c>
      <c r="I207" s="43">
        <v>4280000</v>
      </c>
      <c r="J207" s="44">
        <v>0</v>
      </c>
      <c r="K207" s="44">
        <v>0</v>
      </c>
      <c r="L207" s="43">
        <v>4280000</v>
      </c>
      <c r="M207" s="44">
        <v>0</v>
      </c>
      <c r="N207" s="44">
        <v>0</v>
      </c>
      <c r="O207" s="44">
        <v>0</v>
      </c>
      <c r="P207" s="44">
        <v>0</v>
      </c>
      <c r="Q207" s="44">
        <v>0</v>
      </c>
      <c r="R207" s="44">
        <v>0</v>
      </c>
    </row>
    <row r="208" spans="2:18" ht="24.75" x14ac:dyDescent="0.2">
      <c r="B208" s="30" t="s">
        <v>271</v>
      </c>
      <c r="C208" s="34">
        <v>40181</v>
      </c>
      <c r="D208" s="36" t="s">
        <v>189</v>
      </c>
      <c r="E208" s="33">
        <v>3430163867</v>
      </c>
      <c r="F208" s="33">
        <v>3430163867</v>
      </c>
      <c r="G208" s="33">
        <v>59363447</v>
      </c>
      <c r="H208" s="33">
        <v>59363447</v>
      </c>
      <c r="I208" s="33">
        <v>330202326</v>
      </c>
      <c r="J208" s="33">
        <v>265086447</v>
      </c>
      <c r="K208" s="33">
        <v>288983747</v>
      </c>
      <c r="L208" s="33">
        <v>268086447</v>
      </c>
      <c r="M208" s="33">
        <v>412086447</v>
      </c>
      <c r="N208" s="33">
        <v>411773862</v>
      </c>
      <c r="O208" s="33">
        <v>399363447</v>
      </c>
      <c r="P208" s="33">
        <v>399363447</v>
      </c>
      <c r="Q208" s="33">
        <v>399363447</v>
      </c>
      <c r="R208" s="33">
        <v>137127356</v>
      </c>
    </row>
    <row r="209" spans="2:18" x14ac:dyDescent="0.2">
      <c r="B209" s="30" t="s">
        <v>271</v>
      </c>
      <c r="C209" s="32" t="s">
        <v>190</v>
      </c>
      <c r="D209" s="32" t="s">
        <v>191</v>
      </c>
      <c r="E209" s="33">
        <v>3430163867</v>
      </c>
      <c r="F209" s="33">
        <v>3430163867</v>
      </c>
      <c r="G209" s="33">
        <v>59363447</v>
      </c>
      <c r="H209" s="33">
        <v>59363447</v>
      </c>
      <c r="I209" s="33">
        <v>330202326</v>
      </c>
      <c r="J209" s="33">
        <v>265086447</v>
      </c>
      <c r="K209" s="33">
        <v>288983747</v>
      </c>
      <c r="L209" s="33">
        <v>268086447</v>
      </c>
      <c r="M209" s="33">
        <v>412086447</v>
      </c>
      <c r="N209" s="33">
        <v>411773862</v>
      </c>
      <c r="O209" s="33">
        <v>399363447</v>
      </c>
      <c r="P209" s="33">
        <v>399363447</v>
      </c>
      <c r="Q209" s="33">
        <v>399363447</v>
      </c>
      <c r="R209" s="33">
        <v>137127356</v>
      </c>
    </row>
    <row r="210" spans="2:18" x14ac:dyDescent="0.2">
      <c r="B210" s="30" t="s">
        <v>271</v>
      </c>
      <c r="C210" s="57" t="s">
        <v>52</v>
      </c>
      <c r="D210" s="60" t="s">
        <v>53</v>
      </c>
      <c r="E210" s="63" t="s">
        <v>54</v>
      </c>
      <c r="F210" s="66" t="s">
        <v>55</v>
      </c>
      <c r="G210" s="69" t="s">
        <v>56</v>
      </c>
      <c r="H210" s="70"/>
      <c r="I210" s="70"/>
      <c r="J210" s="70"/>
      <c r="K210" s="70"/>
      <c r="L210" s="71"/>
      <c r="M210" s="69" t="s">
        <v>57</v>
      </c>
      <c r="N210" s="70"/>
      <c r="O210" s="70"/>
      <c r="P210" s="70"/>
      <c r="Q210" s="70"/>
      <c r="R210" s="71"/>
    </row>
    <row r="211" spans="2:18" x14ac:dyDescent="0.2">
      <c r="B211" s="30" t="s">
        <v>271</v>
      </c>
      <c r="C211" s="58"/>
      <c r="D211" s="61"/>
      <c r="E211" s="64"/>
      <c r="F211" s="67"/>
      <c r="G211" s="69" t="s">
        <v>58</v>
      </c>
      <c r="H211" s="70"/>
      <c r="I211" s="71"/>
      <c r="J211" s="69" t="s">
        <v>59</v>
      </c>
      <c r="K211" s="70"/>
      <c r="L211" s="71"/>
      <c r="M211" s="69" t="s">
        <v>60</v>
      </c>
      <c r="N211" s="70"/>
      <c r="O211" s="71"/>
      <c r="P211" s="69" t="s">
        <v>61</v>
      </c>
      <c r="Q211" s="70"/>
      <c r="R211" s="71"/>
    </row>
    <row r="212" spans="2:18" x14ac:dyDescent="0.2">
      <c r="B212" s="30" t="s">
        <v>271</v>
      </c>
      <c r="C212" s="59"/>
      <c r="D212" s="62"/>
      <c r="E212" s="65"/>
      <c r="F212" s="68"/>
      <c r="G212" s="28" t="s">
        <v>62</v>
      </c>
      <c r="H212" s="28" t="s">
        <v>63</v>
      </c>
      <c r="I212" s="29" t="s">
        <v>64</v>
      </c>
      <c r="J212" s="29" t="s">
        <v>65</v>
      </c>
      <c r="K212" s="29" t="s">
        <v>66</v>
      </c>
      <c r="L212" s="29" t="s">
        <v>67</v>
      </c>
      <c r="M212" s="29" t="s">
        <v>68</v>
      </c>
      <c r="N212" s="28" t="s">
        <v>69</v>
      </c>
      <c r="O212" s="28" t="s">
        <v>70</v>
      </c>
      <c r="P212" s="28" t="s">
        <v>71</v>
      </c>
      <c r="Q212" s="28" t="s">
        <v>72</v>
      </c>
      <c r="R212" s="28" t="s">
        <v>73</v>
      </c>
    </row>
    <row r="213" spans="2:18" x14ac:dyDescent="0.2">
      <c r="B213" s="30" t="s">
        <v>271</v>
      </c>
      <c r="C213" s="39" t="s">
        <v>260</v>
      </c>
      <c r="D213" s="39" t="s">
        <v>261</v>
      </c>
      <c r="E213" s="40">
        <v>3261025324</v>
      </c>
      <c r="F213" s="40">
        <v>3261025324</v>
      </c>
      <c r="G213" s="40">
        <v>50000000</v>
      </c>
      <c r="H213" s="40">
        <v>50000000</v>
      </c>
      <c r="I213" s="40">
        <v>287959000</v>
      </c>
      <c r="J213" s="40">
        <v>255723000</v>
      </c>
      <c r="K213" s="40">
        <v>255723000</v>
      </c>
      <c r="L213" s="40">
        <v>258723000</v>
      </c>
      <c r="M213" s="40">
        <v>402723000</v>
      </c>
      <c r="N213" s="40">
        <v>402410415</v>
      </c>
      <c r="O213" s="40">
        <v>390000000</v>
      </c>
      <c r="P213" s="40">
        <v>390000000</v>
      </c>
      <c r="Q213" s="40">
        <v>390000000</v>
      </c>
      <c r="R213" s="40">
        <v>127763909</v>
      </c>
    </row>
    <row r="214" spans="2:18" x14ac:dyDescent="0.2">
      <c r="B214" s="30" t="s">
        <v>271</v>
      </c>
      <c r="C214" s="39" t="s">
        <v>268</v>
      </c>
      <c r="D214" s="39" t="s">
        <v>269</v>
      </c>
      <c r="E214" s="40">
        <v>47794600</v>
      </c>
      <c r="F214" s="40">
        <v>47794600</v>
      </c>
      <c r="G214" s="41">
        <v>0</v>
      </c>
      <c r="H214" s="41">
        <v>0</v>
      </c>
      <c r="I214" s="40">
        <v>23897300</v>
      </c>
      <c r="J214" s="41">
        <v>0</v>
      </c>
      <c r="K214" s="40">
        <v>23897300</v>
      </c>
      <c r="L214" s="41">
        <v>0</v>
      </c>
      <c r="M214" s="41">
        <v>0</v>
      </c>
      <c r="N214" s="41">
        <v>0</v>
      </c>
      <c r="O214" s="41">
        <v>0</v>
      </c>
      <c r="P214" s="41">
        <v>0</v>
      </c>
      <c r="Q214" s="41">
        <v>0</v>
      </c>
      <c r="R214" s="41">
        <v>0</v>
      </c>
    </row>
    <row r="215" spans="2:18" ht="24.75" x14ac:dyDescent="0.2">
      <c r="B215" s="30" t="s">
        <v>271</v>
      </c>
      <c r="C215" s="39" t="s">
        <v>214</v>
      </c>
      <c r="D215" s="36" t="s">
        <v>215</v>
      </c>
      <c r="E215" s="40">
        <v>121343943</v>
      </c>
      <c r="F215" s="40">
        <v>121343943</v>
      </c>
      <c r="G215" s="40">
        <v>9363447</v>
      </c>
      <c r="H215" s="40">
        <v>9363447</v>
      </c>
      <c r="I215" s="40">
        <v>18346026</v>
      </c>
      <c r="J215" s="40">
        <v>9363447</v>
      </c>
      <c r="K215" s="40">
        <v>9363447</v>
      </c>
      <c r="L215" s="40">
        <v>9363447</v>
      </c>
      <c r="M215" s="40">
        <v>9363447</v>
      </c>
      <c r="N215" s="40">
        <v>9363447</v>
      </c>
      <c r="O215" s="40">
        <v>9363447</v>
      </c>
      <c r="P215" s="40">
        <v>9363447</v>
      </c>
      <c r="Q215" s="40">
        <v>9363447</v>
      </c>
      <c r="R215" s="40">
        <v>9363447</v>
      </c>
    </row>
    <row r="216" spans="2:18" ht="16.5" x14ac:dyDescent="0.2">
      <c r="C216" s="30" t="s">
        <v>273</v>
      </c>
      <c r="D216" s="30" t="s">
        <v>274</v>
      </c>
      <c r="E216" s="31">
        <v>3160032182</v>
      </c>
      <c r="F216" s="31">
        <v>3160032182</v>
      </c>
      <c r="G216" s="31">
        <v>192637265</v>
      </c>
      <c r="H216" s="31">
        <v>196077265</v>
      </c>
      <c r="I216" s="31">
        <v>230492002</v>
      </c>
      <c r="J216" s="31">
        <v>195387265</v>
      </c>
      <c r="K216" s="31">
        <v>201364265</v>
      </c>
      <c r="L216" s="31">
        <v>247854809</v>
      </c>
      <c r="M216" s="31">
        <v>329247213</v>
      </c>
      <c r="N216" s="31">
        <v>309488213</v>
      </c>
      <c r="O216" s="31">
        <v>382767213</v>
      </c>
      <c r="P216" s="31">
        <v>341910090</v>
      </c>
      <c r="Q216" s="31">
        <v>268020490</v>
      </c>
      <c r="R216" s="31">
        <v>264786092</v>
      </c>
    </row>
    <row r="217" spans="2:18" ht="33" x14ac:dyDescent="0.2">
      <c r="B217" s="30" t="s">
        <v>273</v>
      </c>
      <c r="C217" s="32" t="s">
        <v>84</v>
      </c>
      <c r="D217" s="36" t="s">
        <v>275</v>
      </c>
      <c r="E217" s="33">
        <v>3160032182</v>
      </c>
      <c r="F217" s="33">
        <v>3160032182</v>
      </c>
      <c r="G217" s="33">
        <v>192637265</v>
      </c>
      <c r="H217" s="33">
        <v>196077265</v>
      </c>
      <c r="I217" s="33">
        <v>230492002</v>
      </c>
      <c r="J217" s="33">
        <v>195387265</v>
      </c>
      <c r="K217" s="33">
        <v>201364265</v>
      </c>
      <c r="L217" s="33">
        <v>247854809</v>
      </c>
      <c r="M217" s="33">
        <v>329247213</v>
      </c>
      <c r="N217" s="33">
        <v>309488213</v>
      </c>
      <c r="O217" s="33">
        <v>382767213</v>
      </c>
      <c r="P217" s="33">
        <v>341910090</v>
      </c>
      <c r="Q217" s="33">
        <v>268020490</v>
      </c>
      <c r="R217" s="33">
        <v>264786092</v>
      </c>
    </row>
    <row r="218" spans="2:18" ht="33" x14ac:dyDescent="0.2">
      <c r="B218" s="30" t="s">
        <v>273</v>
      </c>
      <c r="C218" s="47">
        <v>36894</v>
      </c>
      <c r="D218" s="36" t="s">
        <v>39</v>
      </c>
      <c r="E218" s="38">
        <v>297997137</v>
      </c>
      <c r="F218" s="38">
        <v>297997137</v>
      </c>
      <c r="G218" s="38">
        <v>17999000</v>
      </c>
      <c r="H218" s="38">
        <v>21439000</v>
      </c>
      <c r="I218" s="38">
        <v>41596965</v>
      </c>
      <c r="J218" s="38">
        <v>20749000</v>
      </c>
      <c r="K218" s="38">
        <v>26726000</v>
      </c>
      <c r="L218" s="38">
        <v>39245772</v>
      </c>
      <c r="M218" s="38">
        <v>22979000</v>
      </c>
      <c r="N218" s="38">
        <v>23220000</v>
      </c>
      <c r="O218" s="38">
        <v>21499000</v>
      </c>
      <c r="P218" s="38">
        <v>21319000</v>
      </c>
      <c r="Q218" s="38">
        <v>22429400</v>
      </c>
      <c r="R218" s="38">
        <v>18795000</v>
      </c>
    </row>
    <row r="219" spans="2:18" ht="16.5" x14ac:dyDescent="0.2">
      <c r="B219" s="30" t="s">
        <v>273</v>
      </c>
      <c r="C219" s="32" t="s">
        <v>105</v>
      </c>
      <c r="D219" s="32" t="s">
        <v>42</v>
      </c>
      <c r="E219" s="33">
        <v>35581400</v>
      </c>
      <c r="F219" s="33">
        <v>35581400</v>
      </c>
      <c r="G219" s="46">
        <v>0</v>
      </c>
      <c r="H219" s="33">
        <v>3440000</v>
      </c>
      <c r="I219" s="33">
        <v>5747000</v>
      </c>
      <c r="J219" s="33">
        <v>650000</v>
      </c>
      <c r="K219" s="33">
        <v>5647000</v>
      </c>
      <c r="L219" s="33">
        <v>2620000</v>
      </c>
      <c r="M219" s="33">
        <v>3400000</v>
      </c>
      <c r="N219" s="33">
        <v>2801000</v>
      </c>
      <c r="O219" s="33">
        <v>2920000</v>
      </c>
      <c r="P219" s="33">
        <v>3740000</v>
      </c>
      <c r="Q219" s="33">
        <v>3400400</v>
      </c>
      <c r="R219" s="33">
        <v>1216000</v>
      </c>
    </row>
    <row r="220" spans="2:18" x14ac:dyDescent="0.2">
      <c r="B220" s="30" t="s">
        <v>273</v>
      </c>
      <c r="C220" s="39" t="s">
        <v>107</v>
      </c>
      <c r="D220" s="39" t="s">
        <v>44</v>
      </c>
      <c r="E220" s="40">
        <v>13651400</v>
      </c>
      <c r="F220" s="40">
        <v>13651400</v>
      </c>
      <c r="G220" s="41">
        <v>0</v>
      </c>
      <c r="H220" s="40">
        <v>1300000</v>
      </c>
      <c r="I220" s="40">
        <v>2307000</v>
      </c>
      <c r="J220" s="40">
        <v>650000</v>
      </c>
      <c r="K220" s="40">
        <v>1907000</v>
      </c>
      <c r="L220" s="40">
        <v>1100000</v>
      </c>
      <c r="M220" s="40">
        <v>1400000</v>
      </c>
      <c r="N220" s="40">
        <v>1107000</v>
      </c>
      <c r="O220" s="40">
        <v>1400000</v>
      </c>
      <c r="P220" s="40">
        <v>600000</v>
      </c>
      <c r="Q220" s="40">
        <v>1880400</v>
      </c>
      <c r="R220" s="41">
        <v>0</v>
      </c>
    </row>
    <row r="221" spans="2:18" ht="16.5" x14ac:dyDescent="0.2">
      <c r="B221" s="30" t="s">
        <v>273</v>
      </c>
      <c r="C221" s="42" t="s">
        <v>112</v>
      </c>
      <c r="D221" s="36" t="s">
        <v>113</v>
      </c>
      <c r="E221" s="43">
        <v>21930000</v>
      </c>
      <c r="F221" s="43">
        <v>21930000</v>
      </c>
      <c r="G221" s="44">
        <v>0</v>
      </c>
      <c r="H221" s="43">
        <v>2140000</v>
      </c>
      <c r="I221" s="43">
        <v>3440000</v>
      </c>
      <c r="J221" s="44">
        <v>0</v>
      </c>
      <c r="K221" s="43">
        <v>3740000</v>
      </c>
      <c r="L221" s="43">
        <v>1520000</v>
      </c>
      <c r="M221" s="43">
        <v>2000000</v>
      </c>
      <c r="N221" s="43">
        <v>1694000</v>
      </c>
      <c r="O221" s="43">
        <v>1520000</v>
      </c>
      <c r="P221" s="43">
        <v>3140000</v>
      </c>
      <c r="Q221" s="43">
        <v>1520000</v>
      </c>
      <c r="R221" s="43">
        <v>1216000</v>
      </c>
    </row>
    <row r="222" spans="2:18" ht="16.5" x14ac:dyDescent="0.2">
      <c r="B222" s="30" t="s">
        <v>273</v>
      </c>
      <c r="C222" s="32" t="s">
        <v>124</v>
      </c>
      <c r="D222" s="32" t="s">
        <v>276</v>
      </c>
      <c r="E222" s="33">
        <v>240415737</v>
      </c>
      <c r="F222" s="33">
        <v>240415737</v>
      </c>
      <c r="G222" s="33">
        <v>17999000</v>
      </c>
      <c r="H222" s="33">
        <v>17999000</v>
      </c>
      <c r="I222" s="33">
        <v>32849965</v>
      </c>
      <c r="J222" s="33">
        <v>18099000</v>
      </c>
      <c r="K222" s="33">
        <v>17579000</v>
      </c>
      <c r="L222" s="33">
        <v>30075772</v>
      </c>
      <c r="M222" s="33">
        <v>17579000</v>
      </c>
      <c r="N222" s="33">
        <v>17919000</v>
      </c>
      <c r="O222" s="33">
        <v>17579000</v>
      </c>
      <c r="P222" s="33">
        <v>17579000</v>
      </c>
      <c r="Q222" s="33">
        <v>17579000</v>
      </c>
      <c r="R222" s="33">
        <v>17579000</v>
      </c>
    </row>
    <row r="223" spans="2:18" ht="16.5" x14ac:dyDescent="0.2">
      <c r="B223" s="30" t="s">
        <v>273</v>
      </c>
      <c r="C223" s="39" t="s">
        <v>126</v>
      </c>
      <c r="D223" s="36" t="s">
        <v>50</v>
      </c>
      <c r="E223" s="40">
        <v>15420000</v>
      </c>
      <c r="F223" s="40">
        <v>15420000</v>
      </c>
      <c r="G223" s="40">
        <v>1495000</v>
      </c>
      <c r="H223" s="40">
        <v>1495000</v>
      </c>
      <c r="I223" s="40">
        <v>1375000</v>
      </c>
      <c r="J223" s="40">
        <v>1595000</v>
      </c>
      <c r="K223" s="40">
        <v>1075000</v>
      </c>
      <c r="L223" s="40">
        <v>1595000</v>
      </c>
      <c r="M223" s="40">
        <v>1075000</v>
      </c>
      <c r="N223" s="40">
        <v>1415000</v>
      </c>
      <c r="O223" s="40">
        <v>1075000</v>
      </c>
      <c r="P223" s="40">
        <v>1075000</v>
      </c>
      <c r="Q223" s="40">
        <v>1075000</v>
      </c>
      <c r="R223" s="40">
        <v>1075000</v>
      </c>
    </row>
    <row r="224" spans="2:18" ht="16.5" x14ac:dyDescent="0.2">
      <c r="B224" s="30" t="s">
        <v>273</v>
      </c>
      <c r="C224" s="42" t="s">
        <v>128</v>
      </c>
      <c r="D224" s="36" t="s">
        <v>51</v>
      </c>
      <c r="E224" s="43">
        <v>224995737</v>
      </c>
      <c r="F224" s="43">
        <v>224995737</v>
      </c>
      <c r="G224" s="43">
        <v>16504000</v>
      </c>
      <c r="H224" s="43">
        <v>16504000</v>
      </c>
      <c r="I224" s="43">
        <v>31474965</v>
      </c>
      <c r="J224" s="43">
        <v>16504000</v>
      </c>
      <c r="K224" s="43">
        <v>16504000</v>
      </c>
      <c r="L224" s="43">
        <v>28480772</v>
      </c>
      <c r="M224" s="43">
        <v>16504000</v>
      </c>
      <c r="N224" s="43">
        <v>16504000</v>
      </c>
      <c r="O224" s="43">
        <v>16504000</v>
      </c>
      <c r="P224" s="43">
        <v>16504000</v>
      </c>
      <c r="Q224" s="43">
        <v>16504000</v>
      </c>
      <c r="R224" s="43">
        <v>16504000</v>
      </c>
    </row>
    <row r="225" spans="2:18" ht="33" x14ac:dyDescent="0.2">
      <c r="B225" s="30" t="s">
        <v>273</v>
      </c>
      <c r="C225" s="32" t="s">
        <v>129</v>
      </c>
      <c r="D225" s="36" t="s">
        <v>264</v>
      </c>
      <c r="E225" s="33">
        <v>22000000</v>
      </c>
      <c r="F225" s="33">
        <v>22000000</v>
      </c>
      <c r="G225" s="46">
        <v>0</v>
      </c>
      <c r="H225" s="46">
        <v>0</v>
      </c>
      <c r="I225" s="33">
        <v>3000000</v>
      </c>
      <c r="J225" s="33">
        <v>2000000</v>
      </c>
      <c r="K225" s="33">
        <v>3500000</v>
      </c>
      <c r="L225" s="33">
        <v>6550000</v>
      </c>
      <c r="M225" s="33">
        <v>2000000</v>
      </c>
      <c r="N225" s="33">
        <v>2500000</v>
      </c>
      <c r="O225" s="33">
        <v>1000000</v>
      </c>
      <c r="P225" s="46">
        <v>0</v>
      </c>
      <c r="Q225" s="33">
        <v>1450000</v>
      </c>
      <c r="R225" s="46">
        <v>0</v>
      </c>
    </row>
    <row r="226" spans="2:18" ht="33" x14ac:dyDescent="0.2">
      <c r="B226" s="30" t="s">
        <v>273</v>
      </c>
      <c r="C226" s="42" t="s">
        <v>130</v>
      </c>
      <c r="D226" s="36" t="s">
        <v>75</v>
      </c>
      <c r="E226" s="43">
        <v>20000000</v>
      </c>
      <c r="F226" s="43">
        <v>20000000</v>
      </c>
      <c r="G226" s="44">
        <v>0</v>
      </c>
      <c r="H226" s="44">
        <v>0</v>
      </c>
      <c r="I226" s="43">
        <v>3000000</v>
      </c>
      <c r="J226" s="44">
        <v>0</v>
      </c>
      <c r="K226" s="43">
        <v>3500000</v>
      </c>
      <c r="L226" s="43">
        <v>6550000</v>
      </c>
      <c r="M226" s="43">
        <v>2000000</v>
      </c>
      <c r="N226" s="43">
        <v>2500000</v>
      </c>
      <c r="O226" s="43">
        <v>1000000</v>
      </c>
      <c r="P226" s="44">
        <v>0</v>
      </c>
      <c r="Q226" s="43">
        <v>1450000</v>
      </c>
      <c r="R226" s="44">
        <v>0</v>
      </c>
    </row>
    <row r="227" spans="2:18" ht="16.5" x14ac:dyDescent="0.2">
      <c r="B227" s="30" t="s">
        <v>273</v>
      </c>
      <c r="C227" s="42" t="s">
        <v>131</v>
      </c>
      <c r="D227" s="36" t="s">
        <v>76</v>
      </c>
      <c r="E227" s="43">
        <v>2000000</v>
      </c>
      <c r="F227" s="43">
        <v>2000000</v>
      </c>
      <c r="G227" s="44">
        <v>0</v>
      </c>
      <c r="H227" s="44">
        <v>0</v>
      </c>
      <c r="I227" s="44">
        <v>0</v>
      </c>
      <c r="J227" s="43">
        <v>2000000</v>
      </c>
      <c r="K227" s="44">
        <v>0</v>
      </c>
      <c r="L227" s="44">
        <v>0</v>
      </c>
      <c r="M227" s="44">
        <v>0</v>
      </c>
      <c r="N227" s="44">
        <v>0</v>
      </c>
      <c r="O227" s="44">
        <v>0</v>
      </c>
      <c r="P227" s="44">
        <v>0</v>
      </c>
      <c r="Q227" s="44">
        <v>0</v>
      </c>
      <c r="R227" s="44">
        <v>0</v>
      </c>
    </row>
    <row r="228" spans="2:18" ht="16.5" x14ac:dyDescent="0.2">
      <c r="B228" s="30" t="s">
        <v>273</v>
      </c>
      <c r="C228" s="34">
        <v>40181</v>
      </c>
      <c r="D228" s="32" t="s">
        <v>249</v>
      </c>
      <c r="E228" s="33">
        <v>2862035045</v>
      </c>
      <c r="F228" s="33">
        <v>2862035045</v>
      </c>
      <c r="G228" s="33">
        <v>174638265</v>
      </c>
      <c r="H228" s="33">
        <v>174638265</v>
      </c>
      <c r="I228" s="33">
        <v>188895037</v>
      </c>
      <c r="J228" s="33">
        <v>174638265</v>
      </c>
      <c r="K228" s="33">
        <v>174638265</v>
      </c>
      <c r="L228" s="33">
        <v>208609037</v>
      </c>
      <c r="M228" s="33">
        <v>306268213</v>
      </c>
      <c r="N228" s="33">
        <v>286268213</v>
      </c>
      <c r="O228" s="33">
        <v>361268213</v>
      </c>
      <c r="P228" s="33">
        <v>320591090</v>
      </c>
      <c r="Q228" s="33">
        <v>245591090</v>
      </c>
      <c r="R228" s="33">
        <v>245991092</v>
      </c>
    </row>
    <row r="229" spans="2:18" x14ac:dyDescent="0.2">
      <c r="B229" s="30" t="s">
        <v>273</v>
      </c>
      <c r="C229" s="32" t="s">
        <v>190</v>
      </c>
      <c r="D229" s="32" t="s">
        <v>191</v>
      </c>
      <c r="E229" s="33">
        <v>2862035045</v>
      </c>
      <c r="F229" s="33">
        <v>2862035045</v>
      </c>
      <c r="G229" s="33">
        <v>174638265</v>
      </c>
      <c r="H229" s="33">
        <v>174638265</v>
      </c>
      <c r="I229" s="33">
        <v>188895037</v>
      </c>
      <c r="J229" s="33">
        <v>174638265</v>
      </c>
      <c r="K229" s="33">
        <v>174638265</v>
      </c>
      <c r="L229" s="33">
        <v>208609037</v>
      </c>
      <c r="M229" s="33">
        <v>306268213</v>
      </c>
      <c r="N229" s="33">
        <v>286268213</v>
      </c>
      <c r="O229" s="33">
        <v>361268213</v>
      </c>
      <c r="P229" s="33">
        <v>320591090</v>
      </c>
      <c r="Q229" s="33">
        <v>245591090</v>
      </c>
      <c r="R229" s="33">
        <v>245991092</v>
      </c>
    </row>
    <row r="230" spans="2:18" x14ac:dyDescent="0.2">
      <c r="B230" s="30" t="s">
        <v>273</v>
      </c>
      <c r="C230" s="39" t="s">
        <v>260</v>
      </c>
      <c r="D230" s="39" t="s">
        <v>261</v>
      </c>
      <c r="E230" s="40">
        <v>2489643101</v>
      </c>
      <c r="F230" s="40">
        <v>2489643101</v>
      </c>
      <c r="G230" s="40">
        <v>161435065</v>
      </c>
      <c r="H230" s="40">
        <v>161435065</v>
      </c>
      <c r="I230" s="40">
        <v>163715065</v>
      </c>
      <c r="J230" s="40">
        <v>161435065</v>
      </c>
      <c r="K230" s="40">
        <v>161435065</v>
      </c>
      <c r="L230" s="40">
        <v>163429065</v>
      </c>
      <c r="M230" s="40">
        <v>273065013</v>
      </c>
      <c r="N230" s="40">
        <v>273065013</v>
      </c>
      <c r="O230" s="40">
        <v>273065013</v>
      </c>
      <c r="P230" s="40">
        <v>232387890</v>
      </c>
      <c r="Q230" s="40">
        <v>232387890</v>
      </c>
      <c r="R230" s="40">
        <v>232787892</v>
      </c>
    </row>
    <row r="231" spans="2:18" x14ac:dyDescent="0.2">
      <c r="B231" s="30" t="s">
        <v>273</v>
      </c>
      <c r="C231" s="39" t="s">
        <v>266</v>
      </c>
      <c r="D231" s="39" t="s">
        <v>267</v>
      </c>
      <c r="E231" s="40">
        <v>150000000</v>
      </c>
      <c r="F231" s="40">
        <v>150000000</v>
      </c>
      <c r="G231" s="41">
        <v>0</v>
      </c>
      <c r="H231" s="41">
        <v>0</v>
      </c>
      <c r="I231" s="41">
        <v>0</v>
      </c>
      <c r="J231" s="41">
        <v>0</v>
      </c>
      <c r="K231" s="41">
        <v>0</v>
      </c>
      <c r="L231" s="41">
        <v>0</v>
      </c>
      <c r="M231" s="41">
        <v>0</v>
      </c>
      <c r="N231" s="41">
        <v>0</v>
      </c>
      <c r="O231" s="40">
        <v>75000000</v>
      </c>
      <c r="P231" s="40">
        <v>75000000</v>
      </c>
      <c r="Q231" s="41">
        <v>0</v>
      </c>
      <c r="R231" s="41">
        <v>0</v>
      </c>
    </row>
    <row r="232" spans="2:18" x14ac:dyDescent="0.2">
      <c r="B232" s="30" t="s">
        <v>273</v>
      </c>
      <c r="C232" s="39" t="s">
        <v>268</v>
      </c>
      <c r="D232" s="39" t="s">
        <v>269</v>
      </c>
      <c r="E232" s="40">
        <v>40000000</v>
      </c>
      <c r="F232" s="40">
        <v>40000000</v>
      </c>
      <c r="G232" s="41">
        <v>0</v>
      </c>
      <c r="H232" s="41">
        <v>0</v>
      </c>
      <c r="I232" s="41">
        <v>0</v>
      </c>
      <c r="J232" s="41">
        <v>0</v>
      </c>
      <c r="K232" s="41">
        <v>0</v>
      </c>
      <c r="L232" s="40">
        <v>20000000</v>
      </c>
      <c r="M232" s="40">
        <v>20000000</v>
      </c>
      <c r="N232" s="41">
        <v>0</v>
      </c>
      <c r="O232" s="41">
        <v>0</v>
      </c>
      <c r="P232" s="41">
        <v>0</v>
      </c>
      <c r="Q232" s="41">
        <v>0</v>
      </c>
      <c r="R232" s="41">
        <v>0</v>
      </c>
    </row>
    <row r="233" spans="2:18" ht="24.75" x14ac:dyDescent="0.2">
      <c r="B233" s="30" t="s">
        <v>273</v>
      </c>
      <c r="C233" s="39" t="s">
        <v>214</v>
      </c>
      <c r="D233" s="36" t="s">
        <v>270</v>
      </c>
      <c r="E233" s="40">
        <v>182391944</v>
      </c>
      <c r="F233" s="40">
        <v>182391944</v>
      </c>
      <c r="G233" s="40">
        <v>13203200</v>
      </c>
      <c r="H233" s="40">
        <v>13203200</v>
      </c>
      <c r="I233" s="40">
        <v>25179972</v>
      </c>
      <c r="J233" s="40">
        <v>13203200</v>
      </c>
      <c r="K233" s="40">
        <v>13203200</v>
      </c>
      <c r="L233" s="40">
        <v>25179972</v>
      </c>
      <c r="M233" s="40">
        <v>13203200</v>
      </c>
      <c r="N233" s="40">
        <v>13203200</v>
      </c>
      <c r="O233" s="40">
        <v>13203200</v>
      </c>
      <c r="P233" s="40">
        <v>13203200</v>
      </c>
      <c r="Q233" s="40">
        <v>13203200</v>
      </c>
      <c r="R233" s="40">
        <v>13203200</v>
      </c>
    </row>
    <row r="234" spans="2:18" x14ac:dyDescent="0.2">
      <c r="B234" s="30" t="s">
        <v>273</v>
      </c>
      <c r="C234" s="57" t="s">
        <v>52</v>
      </c>
      <c r="D234" s="60" t="s">
        <v>53</v>
      </c>
      <c r="E234" s="63" t="s">
        <v>54</v>
      </c>
      <c r="F234" s="66" t="s">
        <v>55</v>
      </c>
      <c r="G234" s="69" t="s">
        <v>56</v>
      </c>
      <c r="H234" s="70"/>
      <c r="I234" s="70"/>
      <c r="J234" s="70"/>
      <c r="K234" s="70"/>
      <c r="L234" s="71"/>
      <c r="M234" s="69" t="s">
        <v>57</v>
      </c>
      <c r="N234" s="70"/>
      <c r="O234" s="70"/>
      <c r="P234" s="70"/>
      <c r="Q234" s="70"/>
      <c r="R234" s="71"/>
    </row>
    <row r="235" spans="2:18" x14ac:dyDescent="0.2">
      <c r="B235" s="30" t="s">
        <v>273</v>
      </c>
      <c r="C235" s="58"/>
      <c r="D235" s="61"/>
      <c r="E235" s="64"/>
      <c r="F235" s="67"/>
      <c r="G235" s="69" t="s">
        <v>58</v>
      </c>
      <c r="H235" s="70"/>
      <c r="I235" s="71"/>
      <c r="J235" s="69" t="s">
        <v>59</v>
      </c>
      <c r="K235" s="70"/>
      <c r="L235" s="71"/>
      <c r="M235" s="69" t="s">
        <v>60</v>
      </c>
      <c r="N235" s="70"/>
      <c r="O235" s="71"/>
      <c r="P235" s="69" t="s">
        <v>61</v>
      </c>
      <c r="Q235" s="70"/>
      <c r="R235" s="71"/>
    </row>
    <row r="236" spans="2:18" x14ac:dyDescent="0.2">
      <c r="B236" s="30" t="s">
        <v>273</v>
      </c>
      <c r="C236" s="59"/>
      <c r="D236" s="62"/>
      <c r="E236" s="65"/>
      <c r="F236" s="68"/>
      <c r="G236" s="28" t="s">
        <v>62</v>
      </c>
      <c r="H236" s="28" t="s">
        <v>63</v>
      </c>
      <c r="I236" s="29" t="s">
        <v>64</v>
      </c>
      <c r="J236" s="29" t="s">
        <v>65</v>
      </c>
      <c r="K236" s="29" t="s">
        <v>66</v>
      </c>
      <c r="L236" s="29" t="s">
        <v>67</v>
      </c>
      <c r="M236" s="29" t="s">
        <v>68</v>
      </c>
      <c r="N236" s="28" t="s">
        <v>69</v>
      </c>
      <c r="O236" s="28" t="s">
        <v>70</v>
      </c>
      <c r="P236" s="28" t="s">
        <v>71</v>
      </c>
      <c r="Q236" s="28" t="s">
        <v>72</v>
      </c>
      <c r="R236" s="28" t="s">
        <v>73</v>
      </c>
    </row>
    <row r="237" spans="2:18" ht="16.5" x14ac:dyDescent="0.2">
      <c r="C237" s="30" t="s">
        <v>277</v>
      </c>
      <c r="D237" s="30" t="s">
        <v>278</v>
      </c>
      <c r="E237" s="31">
        <v>4141360019</v>
      </c>
      <c r="F237" s="31">
        <v>4141360019</v>
      </c>
      <c r="G237" s="31">
        <v>17782414</v>
      </c>
      <c r="H237" s="31">
        <v>343875055.69999999</v>
      </c>
      <c r="I237" s="31">
        <v>430101343.69999999</v>
      </c>
      <c r="J237" s="31">
        <v>212873203.65000001</v>
      </c>
      <c r="K237" s="31">
        <v>233099396.05000001</v>
      </c>
      <c r="L237" s="31">
        <v>384690582.30000001</v>
      </c>
      <c r="M237" s="31">
        <v>548757401.54999995</v>
      </c>
      <c r="N237" s="31">
        <v>593550317.95000005</v>
      </c>
      <c r="O237" s="31">
        <v>359968754.02999997</v>
      </c>
      <c r="P237" s="31">
        <v>467965033.89999998</v>
      </c>
      <c r="Q237" s="31">
        <v>362364479.64999998</v>
      </c>
      <c r="R237" s="31">
        <v>186332036.52000001</v>
      </c>
    </row>
    <row r="238" spans="2:18" ht="33" x14ac:dyDescent="0.2">
      <c r="B238" s="30" t="s">
        <v>277</v>
      </c>
      <c r="C238" s="32" t="s">
        <v>84</v>
      </c>
      <c r="D238" s="36" t="s">
        <v>275</v>
      </c>
      <c r="E238" s="33">
        <v>4141360019</v>
      </c>
      <c r="F238" s="33">
        <v>4141360019</v>
      </c>
      <c r="G238" s="33">
        <v>17782414</v>
      </c>
      <c r="H238" s="33">
        <v>343875055.69999999</v>
      </c>
      <c r="I238" s="33">
        <v>430101343.69999999</v>
      </c>
      <c r="J238" s="33">
        <v>212873203.65000001</v>
      </c>
      <c r="K238" s="33">
        <v>233099396.05000001</v>
      </c>
      <c r="L238" s="33">
        <v>384690582.30000001</v>
      </c>
      <c r="M238" s="33">
        <v>548757401.54999995</v>
      </c>
      <c r="N238" s="33">
        <v>593550317.95000005</v>
      </c>
      <c r="O238" s="33">
        <v>359968754.02999997</v>
      </c>
      <c r="P238" s="33">
        <v>467965033.89999998</v>
      </c>
      <c r="Q238" s="33">
        <v>362364479.64999998</v>
      </c>
      <c r="R238" s="33">
        <v>186332036.52000001</v>
      </c>
    </row>
    <row r="239" spans="2:18" ht="33" x14ac:dyDescent="0.2">
      <c r="B239" s="30" t="s">
        <v>277</v>
      </c>
      <c r="C239" s="47">
        <v>36894</v>
      </c>
      <c r="D239" s="36" t="s">
        <v>39</v>
      </c>
      <c r="E239" s="38">
        <v>502207769</v>
      </c>
      <c r="F239" s="38">
        <v>502207769</v>
      </c>
      <c r="G239" s="38">
        <v>17782414</v>
      </c>
      <c r="H239" s="38">
        <v>17782414</v>
      </c>
      <c r="I239" s="38">
        <v>67485318</v>
      </c>
      <c r="J239" s="38">
        <v>47206882.799999997</v>
      </c>
      <c r="K239" s="38">
        <v>31911691.199999999</v>
      </c>
      <c r="L239" s="38">
        <v>58297940.600000001</v>
      </c>
      <c r="M239" s="38">
        <v>59750439</v>
      </c>
      <c r="N239" s="38">
        <v>49487402.399999999</v>
      </c>
      <c r="O239" s="38">
        <v>31096246</v>
      </c>
      <c r="P239" s="38">
        <v>47749392.200000003</v>
      </c>
      <c r="Q239" s="38">
        <v>51652082.799999997</v>
      </c>
      <c r="R239" s="38">
        <v>22005546</v>
      </c>
    </row>
    <row r="240" spans="2:18" ht="16.5" x14ac:dyDescent="0.2">
      <c r="B240" s="30" t="s">
        <v>277</v>
      </c>
      <c r="C240" s="32" t="s">
        <v>105</v>
      </c>
      <c r="D240" s="32" t="s">
        <v>42</v>
      </c>
      <c r="E240" s="33">
        <v>55200828</v>
      </c>
      <c r="F240" s="33">
        <v>55200828</v>
      </c>
      <c r="G240" s="46">
        <v>0</v>
      </c>
      <c r="H240" s="46">
        <v>0</v>
      </c>
      <c r="I240" s="33">
        <v>4154453</v>
      </c>
      <c r="J240" s="33">
        <v>2984453</v>
      </c>
      <c r="K240" s="33">
        <v>9533273</v>
      </c>
      <c r="L240" s="33">
        <v>2287289.7999999998</v>
      </c>
      <c r="M240" s="33">
        <v>9447353</v>
      </c>
      <c r="N240" s="33">
        <v>4181184.8</v>
      </c>
      <c r="O240" s="33">
        <v>9387353</v>
      </c>
      <c r="P240" s="33">
        <v>2679162.4</v>
      </c>
      <c r="Q240" s="33">
        <v>8711853</v>
      </c>
      <c r="R240" s="33">
        <v>1834453</v>
      </c>
    </row>
    <row r="241" spans="2:18" x14ac:dyDescent="0.2">
      <c r="B241" s="30" t="s">
        <v>277</v>
      </c>
      <c r="C241" s="39" t="s">
        <v>107</v>
      </c>
      <c r="D241" s="39" t="s">
        <v>44</v>
      </c>
      <c r="E241" s="40">
        <v>5591798</v>
      </c>
      <c r="F241" s="40">
        <v>5591798</v>
      </c>
      <c r="G241" s="41">
        <v>0</v>
      </c>
      <c r="H241" s="41">
        <v>0</v>
      </c>
      <c r="I241" s="40">
        <v>40000</v>
      </c>
      <c r="J241" s="41">
        <v>0</v>
      </c>
      <c r="K241" s="40">
        <v>858820</v>
      </c>
      <c r="L241" s="40">
        <v>452836.8</v>
      </c>
      <c r="M241" s="40">
        <v>772900</v>
      </c>
      <c r="N241" s="40">
        <v>1196731.8</v>
      </c>
      <c r="O241" s="40">
        <v>712900</v>
      </c>
      <c r="P241" s="40">
        <v>844709.4</v>
      </c>
      <c r="Q241" s="40">
        <v>712900</v>
      </c>
      <c r="R241" s="41">
        <v>0</v>
      </c>
    </row>
    <row r="242" spans="2:18" ht="16.5" x14ac:dyDescent="0.2">
      <c r="B242" s="30" t="s">
        <v>277</v>
      </c>
      <c r="C242" s="42" t="s">
        <v>112</v>
      </c>
      <c r="D242" s="36" t="s">
        <v>113</v>
      </c>
      <c r="E242" s="43">
        <v>49609030</v>
      </c>
      <c r="F242" s="43">
        <v>49609030</v>
      </c>
      <c r="G242" s="44">
        <v>0</v>
      </c>
      <c r="H242" s="44">
        <v>0</v>
      </c>
      <c r="I242" s="43">
        <v>4114453</v>
      </c>
      <c r="J242" s="43">
        <v>2984453</v>
      </c>
      <c r="K242" s="43">
        <v>8674453</v>
      </c>
      <c r="L242" s="43">
        <v>1834453</v>
      </c>
      <c r="M242" s="43">
        <v>8674453</v>
      </c>
      <c r="N242" s="43">
        <v>2984453</v>
      </c>
      <c r="O242" s="43">
        <v>8674453</v>
      </c>
      <c r="P242" s="43">
        <v>1834453</v>
      </c>
      <c r="Q242" s="43">
        <v>7998953</v>
      </c>
      <c r="R242" s="43">
        <v>1834453</v>
      </c>
    </row>
    <row r="243" spans="2:18" ht="24.75" x14ac:dyDescent="0.2">
      <c r="B243" s="30" t="s">
        <v>277</v>
      </c>
      <c r="C243" s="32" t="s">
        <v>118</v>
      </c>
      <c r="D243" s="32" t="s">
        <v>279</v>
      </c>
      <c r="E243" s="33">
        <v>36000000</v>
      </c>
      <c r="F243" s="33">
        <v>36000000</v>
      </c>
      <c r="G243" s="46">
        <v>0</v>
      </c>
      <c r="H243" s="46">
        <v>0</v>
      </c>
      <c r="I243" s="33">
        <v>14400000</v>
      </c>
      <c r="J243" s="46">
        <v>0</v>
      </c>
      <c r="K243" s="46">
        <v>0</v>
      </c>
      <c r="L243" s="46">
        <v>0</v>
      </c>
      <c r="M243" s="33">
        <v>21600000</v>
      </c>
      <c r="N243" s="46">
        <v>0</v>
      </c>
      <c r="O243" s="46">
        <v>0</v>
      </c>
      <c r="P243" s="46">
        <v>0</v>
      </c>
      <c r="Q243" s="46">
        <v>0</v>
      </c>
      <c r="R243" s="46">
        <v>0</v>
      </c>
    </row>
    <row r="244" spans="2:18" ht="16.5" x14ac:dyDescent="0.2">
      <c r="B244" s="30" t="s">
        <v>277</v>
      </c>
      <c r="C244" s="39" t="s">
        <v>119</v>
      </c>
      <c r="D244" s="36" t="s">
        <v>120</v>
      </c>
      <c r="E244" s="41">
        <v>0</v>
      </c>
      <c r="F244" s="41">
        <v>0</v>
      </c>
      <c r="G244" s="41">
        <v>0</v>
      </c>
      <c r="H244" s="41">
        <v>0</v>
      </c>
      <c r="I244" s="41">
        <v>0</v>
      </c>
      <c r="J244" s="41">
        <v>0</v>
      </c>
      <c r="K244" s="41">
        <v>0</v>
      </c>
      <c r="L244" s="41">
        <v>0</v>
      </c>
      <c r="M244" s="41">
        <v>0</v>
      </c>
      <c r="N244" s="41">
        <v>0</v>
      </c>
      <c r="O244" s="41">
        <v>0</v>
      </c>
      <c r="P244" s="41">
        <v>0</v>
      </c>
      <c r="Q244" s="41">
        <v>0</v>
      </c>
      <c r="R244" s="41">
        <v>0</v>
      </c>
    </row>
    <row r="245" spans="2:18" x14ac:dyDescent="0.2">
      <c r="B245" s="30" t="s">
        <v>277</v>
      </c>
      <c r="C245" s="39" t="s">
        <v>280</v>
      </c>
      <c r="D245" s="39" t="s">
        <v>281</v>
      </c>
      <c r="E245" s="41">
        <v>0</v>
      </c>
      <c r="F245" s="41">
        <v>0</v>
      </c>
      <c r="G245" s="41">
        <v>0</v>
      </c>
      <c r="H245" s="41">
        <v>0</v>
      </c>
      <c r="I245" s="41">
        <v>0</v>
      </c>
      <c r="J245" s="41">
        <v>0</v>
      </c>
      <c r="K245" s="41">
        <v>0</v>
      </c>
      <c r="L245" s="41">
        <v>0</v>
      </c>
      <c r="M245" s="41">
        <v>0</v>
      </c>
      <c r="N245" s="41">
        <v>0</v>
      </c>
      <c r="O245" s="41">
        <v>0</v>
      </c>
      <c r="P245" s="41">
        <v>0</v>
      </c>
      <c r="Q245" s="41">
        <v>0</v>
      </c>
      <c r="R245" s="41">
        <v>0</v>
      </c>
    </row>
    <row r="246" spans="2:18" x14ac:dyDescent="0.2">
      <c r="B246" s="30" t="s">
        <v>277</v>
      </c>
      <c r="C246" s="39" t="s">
        <v>121</v>
      </c>
      <c r="D246" s="39" t="s">
        <v>122</v>
      </c>
      <c r="E246" s="41">
        <v>0</v>
      </c>
      <c r="F246" s="41">
        <v>0</v>
      </c>
      <c r="G246" s="41">
        <v>0</v>
      </c>
      <c r="H246" s="41">
        <v>0</v>
      </c>
      <c r="I246" s="41">
        <v>0</v>
      </c>
      <c r="J246" s="41">
        <v>0</v>
      </c>
      <c r="K246" s="41">
        <v>0</v>
      </c>
      <c r="L246" s="41">
        <v>0</v>
      </c>
      <c r="M246" s="41">
        <v>0</v>
      </c>
      <c r="N246" s="41">
        <v>0</v>
      </c>
      <c r="O246" s="41">
        <v>0</v>
      </c>
      <c r="P246" s="41">
        <v>0</v>
      </c>
      <c r="Q246" s="41">
        <v>0</v>
      </c>
      <c r="R246" s="41">
        <v>0</v>
      </c>
    </row>
    <row r="247" spans="2:18" x14ac:dyDescent="0.2">
      <c r="B247" s="30" t="s">
        <v>277</v>
      </c>
      <c r="C247" s="39" t="s">
        <v>123</v>
      </c>
      <c r="D247" s="39" t="s">
        <v>47</v>
      </c>
      <c r="E247" s="41">
        <v>0</v>
      </c>
      <c r="F247" s="41">
        <v>0</v>
      </c>
      <c r="G247" s="41">
        <v>0</v>
      </c>
      <c r="H247" s="41">
        <v>0</v>
      </c>
      <c r="I247" s="41">
        <v>0</v>
      </c>
      <c r="J247" s="41">
        <v>0</v>
      </c>
      <c r="K247" s="41">
        <v>0</v>
      </c>
      <c r="L247" s="41">
        <v>0</v>
      </c>
      <c r="M247" s="41">
        <v>0</v>
      </c>
      <c r="N247" s="41">
        <v>0</v>
      </c>
      <c r="O247" s="41">
        <v>0</v>
      </c>
      <c r="P247" s="41">
        <v>0</v>
      </c>
      <c r="Q247" s="41">
        <v>0</v>
      </c>
      <c r="R247" s="41">
        <v>0</v>
      </c>
    </row>
    <row r="248" spans="2:18" ht="16.5" x14ac:dyDescent="0.2">
      <c r="B248" s="30" t="s">
        <v>277</v>
      </c>
      <c r="C248" s="39" t="s">
        <v>282</v>
      </c>
      <c r="D248" s="36" t="s">
        <v>283</v>
      </c>
      <c r="E248" s="40">
        <v>36000000</v>
      </c>
      <c r="F248" s="40">
        <v>36000000</v>
      </c>
      <c r="G248" s="41">
        <v>0</v>
      </c>
      <c r="H248" s="41">
        <v>0</v>
      </c>
      <c r="I248" s="40">
        <v>14400000</v>
      </c>
      <c r="J248" s="41">
        <v>0</v>
      </c>
      <c r="K248" s="41">
        <v>0</v>
      </c>
      <c r="L248" s="41">
        <v>0</v>
      </c>
      <c r="M248" s="40">
        <v>21600000</v>
      </c>
      <c r="N248" s="41">
        <v>0</v>
      </c>
      <c r="O248" s="41">
        <v>0</v>
      </c>
      <c r="P248" s="41">
        <v>0</v>
      </c>
      <c r="Q248" s="41">
        <v>0</v>
      </c>
      <c r="R248" s="41">
        <v>0</v>
      </c>
    </row>
    <row r="249" spans="2:18" ht="24.75" x14ac:dyDescent="0.2">
      <c r="B249" s="30" t="s">
        <v>277</v>
      </c>
      <c r="C249" s="37" t="s">
        <v>124</v>
      </c>
      <c r="D249" s="36" t="s">
        <v>48</v>
      </c>
      <c r="E249" s="38">
        <v>282100257</v>
      </c>
      <c r="F249" s="38">
        <v>282100257</v>
      </c>
      <c r="G249" s="38">
        <v>17782414</v>
      </c>
      <c r="H249" s="38">
        <v>17782414</v>
      </c>
      <c r="I249" s="38">
        <v>40930865</v>
      </c>
      <c r="J249" s="38">
        <v>19571093</v>
      </c>
      <c r="K249" s="38">
        <v>19728418.199999999</v>
      </c>
      <c r="L249" s="38">
        <v>33359314</v>
      </c>
      <c r="M249" s="38">
        <v>25703086</v>
      </c>
      <c r="N249" s="38">
        <v>21944880.800000001</v>
      </c>
      <c r="O249" s="38">
        <v>21708893</v>
      </c>
      <c r="P249" s="38">
        <v>21708893</v>
      </c>
      <c r="Q249" s="38">
        <v>21708893</v>
      </c>
      <c r="R249" s="38">
        <v>20171093</v>
      </c>
    </row>
    <row r="250" spans="2:18" ht="16.5" x14ac:dyDescent="0.2">
      <c r="B250" s="30" t="s">
        <v>277</v>
      </c>
      <c r="C250" s="39" t="s">
        <v>126</v>
      </c>
      <c r="D250" s="36" t="s">
        <v>50</v>
      </c>
      <c r="E250" s="40">
        <v>23289000</v>
      </c>
      <c r="F250" s="40">
        <v>23289000</v>
      </c>
      <c r="G250" s="41">
        <v>0</v>
      </c>
      <c r="H250" s="41">
        <v>0</v>
      </c>
      <c r="I250" s="40">
        <v>3000000</v>
      </c>
      <c r="J250" s="40">
        <v>1000000</v>
      </c>
      <c r="K250" s="40">
        <v>1000000</v>
      </c>
      <c r="L250" s="41">
        <v>0</v>
      </c>
      <c r="M250" s="40">
        <v>4137800</v>
      </c>
      <c r="N250" s="40">
        <v>3137800</v>
      </c>
      <c r="O250" s="40">
        <v>3137800</v>
      </c>
      <c r="P250" s="40">
        <v>3137800</v>
      </c>
      <c r="Q250" s="40">
        <v>3137800</v>
      </c>
      <c r="R250" s="40">
        <v>1600000</v>
      </c>
    </row>
    <row r="251" spans="2:18" ht="16.5" x14ac:dyDescent="0.2">
      <c r="B251" s="30" t="s">
        <v>277</v>
      </c>
      <c r="C251" s="42" t="s">
        <v>128</v>
      </c>
      <c r="D251" s="36" t="s">
        <v>51</v>
      </c>
      <c r="E251" s="43">
        <v>258811257</v>
      </c>
      <c r="F251" s="43">
        <v>258811257</v>
      </c>
      <c r="G251" s="43">
        <v>17782414</v>
      </c>
      <c r="H251" s="43">
        <v>17782414</v>
      </c>
      <c r="I251" s="43">
        <v>37930865</v>
      </c>
      <c r="J251" s="43">
        <v>18571093</v>
      </c>
      <c r="K251" s="43">
        <v>18728418.199999999</v>
      </c>
      <c r="L251" s="43">
        <v>33359314</v>
      </c>
      <c r="M251" s="43">
        <v>21565286</v>
      </c>
      <c r="N251" s="43">
        <v>18807080.800000001</v>
      </c>
      <c r="O251" s="43">
        <v>18571093</v>
      </c>
      <c r="P251" s="43">
        <v>18571093</v>
      </c>
      <c r="Q251" s="43">
        <v>18571093</v>
      </c>
      <c r="R251" s="43">
        <v>18571093</v>
      </c>
    </row>
    <row r="252" spans="2:18" ht="24.75" x14ac:dyDescent="0.2">
      <c r="B252" s="30" t="s">
        <v>277</v>
      </c>
      <c r="C252" s="37" t="s">
        <v>129</v>
      </c>
      <c r="D252" s="32" t="s">
        <v>74</v>
      </c>
      <c r="E252" s="38">
        <v>128906684</v>
      </c>
      <c r="F252" s="38">
        <v>128906684</v>
      </c>
      <c r="G252" s="45">
        <v>0</v>
      </c>
      <c r="H252" s="45">
        <v>0</v>
      </c>
      <c r="I252" s="38">
        <v>8000000</v>
      </c>
      <c r="J252" s="38">
        <v>24651336.800000001</v>
      </c>
      <c r="K252" s="38">
        <v>2650000</v>
      </c>
      <c r="L252" s="38">
        <v>22651336.800000001</v>
      </c>
      <c r="M252" s="38">
        <v>3000000</v>
      </c>
      <c r="N252" s="38">
        <v>23361336.800000001</v>
      </c>
      <c r="O252" s="45">
        <v>0</v>
      </c>
      <c r="P252" s="38">
        <v>23361336.800000001</v>
      </c>
      <c r="Q252" s="38">
        <v>21231336.800000001</v>
      </c>
      <c r="R252" s="45">
        <v>0</v>
      </c>
    </row>
    <row r="253" spans="2:18" ht="33" x14ac:dyDescent="0.2">
      <c r="B253" s="30" t="s">
        <v>277</v>
      </c>
      <c r="C253" s="42" t="s">
        <v>130</v>
      </c>
      <c r="D253" s="36" t="s">
        <v>75</v>
      </c>
      <c r="E253" s="43">
        <v>116806684</v>
      </c>
      <c r="F253" s="43">
        <v>116806684</v>
      </c>
      <c r="G253" s="44">
        <v>0</v>
      </c>
      <c r="H253" s="44">
        <v>0</v>
      </c>
      <c r="I253" s="43">
        <v>8000000</v>
      </c>
      <c r="J253" s="43">
        <v>21231336.800000001</v>
      </c>
      <c r="K253" s="43">
        <v>2650000</v>
      </c>
      <c r="L253" s="43">
        <v>21231336.800000001</v>
      </c>
      <c r="M253" s="44">
        <v>0</v>
      </c>
      <c r="N253" s="43">
        <v>21231336.800000001</v>
      </c>
      <c r="O253" s="44">
        <v>0</v>
      </c>
      <c r="P253" s="43">
        <v>21231336.800000001</v>
      </c>
      <c r="Q253" s="43">
        <v>21231336.800000001</v>
      </c>
      <c r="R253" s="44">
        <v>0</v>
      </c>
    </row>
    <row r="254" spans="2:18" ht="16.5" x14ac:dyDescent="0.2">
      <c r="B254" s="30" t="s">
        <v>277</v>
      </c>
      <c r="C254" s="39" t="s">
        <v>258</v>
      </c>
      <c r="D254" s="36" t="s">
        <v>259</v>
      </c>
      <c r="E254" s="41">
        <v>0</v>
      </c>
      <c r="F254" s="41">
        <v>0</v>
      </c>
      <c r="G254" s="41">
        <v>0</v>
      </c>
      <c r="H254" s="41">
        <v>0</v>
      </c>
      <c r="I254" s="41">
        <v>0</v>
      </c>
      <c r="J254" s="41">
        <v>0</v>
      </c>
      <c r="K254" s="41">
        <v>0</v>
      </c>
      <c r="L254" s="41">
        <v>0</v>
      </c>
      <c r="M254" s="41">
        <v>0</v>
      </c>
      <c r="N254" s="41">
        <v>0</v>
      </c>
      <c r="O254" s="41">
        <v>0</v>
      </c>
      <c r="P254" s="41">
        <v>0</v>
      </c>
      <c r="Q254" s="41">
        <v>0</v>
      </c>
      <c r="R254" s="41">
        <v>0</v>
      </c>
    </row>
    <row r="255" spans="2:18" ht="16.5" x14ac:dyDescent="0.2">
      <c r="B255" s="30" t="s">
        <v>277</v>
      </c>
      <c r="C255" s="42" t="s">
        <v>131</v>
      </c>
      <c r="D255" s="36" t="s">
        <v>76</v>
      </c>
      <c r="E255" s="43">
        <v>7100000</v>
      </c>
      <c r="F255" s="43">
        <v>7100000</v>
      </c>
      <c r="G255" s="44">
        <v>0</v>
      </c>
      <c r="H255" s="44">
        <v>0</v>
      </c>
      <c r="I255" s="44">
        <v>0</v>
      </c>
      <c r="J255" s="43">
        <v>1420000</v>
      </c>
      <c r="K255" s="44">
        <v>0</v>
      </c>
      <c r="L255" s="43">
        <v>1420000</v>
      </c>
      <c r="M255" s="44">
        <v>0</v>
      </c>
      <c r="N255" s="43">
        <v>2130000</v>
      </c>
      <c r="O255" s="44">
        <v>0</v>
      </c>
      <c r="P255" s="43">
        <v>2130000</v>
      </c>
      <c r="Q255" s="44">
        <v>0</v>
      </c>
      <c r="R255" s="44">
        <v>0</v>
      </c>
    </row>
    <row r="256" spans="2:18" ht="16.5" x14ac:dyDescent="0.2">
      <c r="B256" s="30" t="s">
        <v>277</v>
      </c>
      <c r="C256" s="39" t="s">
        <v>134</v>
      </c>
      <c r="D256" s="36" t="s">
        <v>284</v>
      </c>
      <c r="E256" s="40">
        <v>5000000</v>
      </c>
      <c r="F256" s="40">
        <v>5000000</v>
      </c>
      <c r="G256" s="41">
        <v>0</v>
      </c>
      <c r="H256" s="41">
        <v>0</v>
      </c>
      <c r="I256" s="41">
        <v>0</v>
      </c>
      <c r="J256" s="40">
        <v>2000000</v>
      </c>
      <c r="K256" s="41">
        <v>0</v>
      </c>
      <c r="L256" s="41">
        <v>0</v>
      </c>
      <c r="M256" s="40">
        <v>3000000</v>
      </c>
      <c r="N256" s="41">
        <v>0</v>
      </c>
      <c r="O256" s="41">
        <v>0</v>
      </c>
      <c r="P256" s="41">
        <v>0</v>
      </c>
      <c r="Q256" s="41">
        <v>0</v>
      </c>
      <c r="R256" s="41">
        <v>0</v>
      </c>
    </row>
    <row r="257" spans="2:18" x14ac:dyDescent="0.2">
      <c r="B257" s="30" t="s">
        <v>277</v>
      </c>
      <c r="C257" s="57" t="s">
        <v>52</v>
      </c>
      <c r="D257" s="60" t="s">
        <v>53</v>
      </c>
      <c r="E257" s="63" t="s">
        <v>54</v>
      </c>
      <c r="F257" s="66" t="s">
        <v>55</v>
      </c>
      <c r="G257" s="69" t="s">
        <v>56</v>
      </c>
      <c r="H257" s="70"/>
      <c r="I257" s="70"/>
      <c r="J257" s="70"/>
      <c r="K257" s="70"/>
      <c r="L257" s="71"/>
      <c r="M257" s="69" t="s">
        <v>57</v>
      </c>
      <c r="N257" s="70"/>
      <c r="O257" s="70"/>
      <c r="P257" s="70"/>
      <c r="Q257" s="70"/>
      <c r="R257" s="71"/>
    </row>
    <row r="258" spans="2:18" x14ac:dyDescent="0.2">
      <c r="B258" s="30" t="s">
        <v>277</v>
      </c>
      <c r="C258" s="58"/>
      <c r="D258" s="61"/>
      <c r="E258" s="64"/>
      <c r="F258" s="67"/>
      <c r="G258" s="69" t="s">
        <v>58</v>
      </c>
      <c r="H258" s="70"/>
      <c r="I258" s="71"/>
      <c r="J258" s="69" t="s">
        <v>59</v>
      </c>
      <c r="K258" s="70"/>
      <c r="L258" s="71"/>
      <c r="M258" s="69" t="s">
        <v>60</v>
      </c>
      <c r="N258" s="70"/>
      <c r="O258" s="71"/>
      <c r="P258" s="69" t="s">
        <v>61</v>
      </c>
      <c r="Q258" s="70"/>
      <c r="R258" s="71"/>
    </row>
    <row r="259" spans="2:18" x14ac:dyDescent="0.2">
      <c r="B259" s="30" t="s">
        <v>277</v>
      </c>
      <c r="C259" s="59"/>
      <c r="D259" s="62"/>
      <c r="E259" s="65"/>
      <c r="F259" s="68"/>
      <c r="G259" s="28" t="s">
        <v>62</v>
      </c>
      <c r="H259" s="28" t="s">
        <v>63</v>
      </c>
      <c r="I259" s="29" t="s">
        <v>64</v>
      </c>
      <c r="J259" s="29" t="s">
        <v>65</v>
      </c>
      <c r="K259" s="29" t="s">
        <v>66</v>
      </c>
      <c r="L259" s="29" t="s">
        <v>67</v>
      </c>
      <c r="M259" s="29" t="s">
        <v>68</v>
      </c>
      <c r="N259" s="28" t="s">
        <v>69</v>
      </c>
      <c r="O259" s="28" t="s">
        <v>70</v>
      </c>
      <c r="P259" s="28" t="s">
        <v>71</v>
      </c>
      <c r="Q259" s="28" t="s">
        <v>72</v>
      </c>
      <c r="R259" s="28" t="s">
        <v>73</v>
      </c>
    </row>
    <row r="260" spans="2:18" ht="16.5" x14ac:dyDescent="0.2">
      <c r="B260" s="30" t="s">
        <v>277</v>
      </c>
      <c r="C260" s="34">
        <v>40181</v>
      </c>
      <c r="D260" s="32" t="s">
        <v>249</v>
      </c>
      <c r="E260" s="33">
        <v>3639152250</v>
      </c>
      <c r="F260" s="33">
        <v>3639152250</v>
      </c>
      <c r="G260" s="46">
        <v>0</v>
      </c>
      <c r="H260" s="33">
        <v>326092641.69999999</v>
      </c>
      <c r="I260" s="33">
        <v>362616025.69999999</v>
      </c>
      <c r="J260" s="33">
        <v>165666320.84999999</v>
      </c>
      <c r="K260" s="33">
        <v>201187704.84999999</v>
      </c>
      <c r="L260" s="33">
        <v>326392641.69999999</v>
      </c>
      <c r="M260" s="33">
        <v>489006962.55000001</v>
      </c>
      <c r="N260" s="33">
        <v>544062915.54999995</v>
      </c>
      <c r="O260" s="33">
        <v>328872508.02999997</v>
      </c>
      <c r="P260" s="33">
        <v>420215641.69999999</v>
      </c>
      <c r="Q260" s="33">
        <v>310712396.85000002</v>
      </c>
      <c r="R260" s="33">
        <v>164326490.52000001</v>
      </c>
    </row>
    <row r="261" spans="2:18" x14ac:dyDescent="0.2">
      <c r="B261" s="30" t="s">
        <v>277</v>
      </c>
      <c r="C261" s="32" t="s">
        <v>190</v>
      </c>
      <c r="D261" s="32" t="s">
        <v>191</v>
      </c>
      <c r="E261" s="33">
        <v>3639152250</v>
      </c>
      <c r="F261" s="33">
        <v>3639152250</v>
      </c>
      <c r="G261" s="46">
        <v>0</v>
      </c>
      <c r="H261" s="33">
        <v>326092641.69999999</v>
      </c>
      <c r="I261" s="33">
        <v>362616025.69999999</v>
      </c>
      <c r="J261" s="33">
        <v>165666320.84999999</v>
      </c>
      <c r="K261" s="33">
        <v>201187704.84999999</v>
      </c>
      <c r="L261" s="33">
        <v>326392641.69999999</v>
      </c>
      <c r="M261" s="33">
        <v>489006962.55000001</v>
      </c>
      <c r="N261" s="33">
        <v>544062915.54999995</v>
      </c>
      <c r="O261" s="33">
        <v>328872508.02999997</v>
      </c>
      <c r="P261" s="33">
        <v>420215641.69999999</v>
      </c>
      <c r="Q261" s="33">
        <v>310712396.85000002</v>
      </c>
      <c r="R261" s="33">
        <v>164326490.52000001</v>
      </c>
    </row>
    <row r="262" spans="2:18" x14ac:dyDescent="0.2">
      <c r="B262" s="30" t="s">
        <v>277</v>
      </c>
      <c r="C262" s="39" t="s">
        <v>260</v>
      </c>
      <c r="D262" s="39" t="s">
        <v>261</v>
      </c>
      <c r="E262" s="40">
        <v>3289915330</v>
      </c>
      <c r="F262" s="40">
        <v>3289915330</v>
      </c>
      <c r="G262" s="41">
        <v>0</v>
      </c>
      <c r="H262" s="40">
        <v>326092641.69999999</v>
      </c>
      <c r="I262" s="40">
        <v>329344641.69999999</v>
      </c>
      <c r="J262" s="40">
        <v>165666320.84999999</v>
      </c>
      <c r="K262" s="40">
        <v>167916320.84999999</v>
      </c>
      <c r="L262" s="40">
        <v>326392641.69999999</v>
      </c>
      <c r="M262" s="40">
        <v>489006962.55000001</v>
      </c>
      <c r="N262" s="40">
        <v>494155839.55000001</v>
      </c>
      <c r="O262" s="40">
        <v>328872508.02999997</v>
      </c>
      <c r="P262" s="40">
        <v>328775641.69999999</v>
      </c>
      <c r="Q262" s="40">
        <v>169365320.84999999</v>
      </c>
      <c r="R262" s="40">
        <v>164326490.52000001</v>
      </c>
    </row>
    <row r="263" spans="2:18" x14ac:dyDescent="0.2">
      <c r="B263" s="30" t="s">
        <v>277</v>
      </c>
      <c r="C263" s="39" t="s">
        <v>266</v>
      </c>
      <c r="D263" s="39" t="s">
        <v>267</v>
      </c>
      <c r="E263" s="40">
        <v>182880000</v>
      </c>
      <c r="F263" s="40">
        <v>182880000</v>
      </c>
      <c r="G263" s="41">
        <v>0</v>
      </c>
      <c r="H263" s="41">
        <v>0</v>
      </c>
      <c r="I263" s="41">
        <v>0</v>
      </c>
      <c r="J263" s="41">
        <v>0</v>
      </c>
      <c r="K263" s="41">
        <v>0</v>
      </c>
      <c r="L263" s="41">
        <v>0</v>
      </c>
      <c r="M263" s="41">
        <v>0</v>
      </c>
      <c r="N263" s="41">
        <v>0</v>
      </c>
      <c r="O263" s="41">
        <v>0</v>
      </c>
      <c r="P263" s="40">
        <v>91440000</v>
      </c>
      <c r="Q263" s="40">
        <v>91440000</v>
      </c>
      <c r="R263" s="41">
        <v>0</v>
      </c>
    </row>
    <row r="264" spans="2:18" x14ac:dyDescent="0.2">
      <c r="B264" s="30" t="s">
        <v>277</v>
      </c>
      <c r="C264" s="39" t="s">
        <v>268</v>
      </c>
      <c r="D264" s="39" t="s">
        <v>269</v>
      </c>
      <c r="E264" s="40">
        <v>166356920</v>
      </c>
      <c r="F264" s="40">
        <v>166356920</v>
      </c>
      <c r="G264" s="41">
        <v>0</v>
      </c>
      <c r="H264" s="41">
        <v>0</v>
      </c>
      <c r="I264" s="40">
        <v>33271384</v>
      </c>
      <c r="J264" s="41">
        <v>0</v>
      </c>
      <c r="K264" s="40">
        <v>33271384</v>
      </c>
      <c r="L264" s="41">
        <v>0</v>
      </c>
      <c r="M264" s="41">
        <v>0</v>
      </c>
      <c r="N264" s="40">
        <v>49907076</v>
      </c>
      <c r="O264" s="41">
        <v>0</v>
      </c>
      <c r="P264" s="41">
        <v>0</v>
      </c>
      <c r="Q264" s="40">
        <v>49907076</v>
      </c>
      <c r="R264" s="41">
        <v>0</v>
      </c>
    </row>
    <row r="265" spans="2:18" ht="24.75" x14ac:dyDescent="0.2">
      <c r="B265" s="30" t="s">
        <v>277</v>
      </c>
      <c r="C265" s="39" t="s">
        <v>214</v>
      </c>
      <c r="D265" s="36" t="s">
        <v>215</v>
      </c>
      <c r="E265" s="41">
        <v>0</v>
      </c>
      <c r="F265" s="41">
        <v>0</v>
      </c>
      <c r="G265" s="41">
        <v>0</v>
      </c>
      <c r="H265" s="41">
        <v>0</v>
      </c>
      <c r="I265" s="41">
        <v>0</v>
      </c>
      <c r="J265" s="41">
        <v>0</v>
      </c>
      <c r="K265" s="41">
        <v>0</v>
      </c>
      <c r="L265" s="41">
        <v>0</v>
      </c>
      <c r="M265" s="41">
        <v>0</v>
      </c>
      <c r="N265" s="41">
        <v>0</v>
      </c>
      <c r="O265" s="41">
        <v>0</v>
      </c>
      <c r="P265" s="41">
        <v>0</v>
      </c>
      <c r="Q265" s="41">
        <v>0</v>
      </c>
      <c r="R265" s="41">
        <v>0</v>
      </c>
    </row>
    <row r="266" spans="2:18" ht="16.5" x14ac:dyDescent="0.2">
      <c r="C266" s="30" t="s">
        <v>285</v>
      </c>
      <c r="D266" s="30" t="s">
        <v>286</v>
      </c>
      <c r="E266" s="31">
        <v>3111889352</v>
      </c>
      <c r="F266" s="31">
        <v>3111889352</v>
      </c>
      <c r="G266" s="31">
        <v>34987885</v>
      </c>
      <c r="H266" s="31">
        <v>163871748</v>
      </c>
      <c r="I266" s="31">
        <v>269713836</v>
      </c>
      <c r="J266" s="31">
        <v>286171212</v>
      </c>
      <c r="K266" s="31">
        <v>238189244</v>
      </c>
      <c r="L266" s="31">
        <v>198706560</v>
      </c>
      <c r="M266" s="31">
        <v>637016003</v>
      </c>
      <c r="N266" s="31">
        <v>366698758</v>
      </c>
      <c r="O266" s="31">
        <v>369305553</v>
      </c>
      <c r="P266" s="31">
        <v>271141223</v>
      </c>
      <c r="Q266" s="31">
        <v>206388003</v>
      </c>
      <c r="R266" s="31">
        <v>69699327</v>
      </c>
    </row>
    <row r="267" spans="2:18" ht="24.75" x14ac:dyDescent="0.2">
      <c r="B267" s="30" t="s">
        <v>285</v>
      </c>
      <c r="C267" s="37" t="s">
        <v>84</v>
      </c>
      <c r="D267" s="32" t="s">
        <v>238</v>
      </c>
      <c r="E267" s="38">
        <v>3111889352</v>
      </c>
      <c r="F267" s="38">
        <v>3111889352</v>
      </c>
      <c r="G267" s="38">
        <v>34987885</v>
      </c>
      <c r="H267" s="38">
        <v>163871748</v>
      </c>
      <c r="I267" s="38">
        <v>269713836</v>
      </c>
      <c r="J267" s="38">
        <v>286171212</v>
      </c>
      <c r="K267" s="38">
        <v>238189244</v>
      </c>
      <c r="L267" s="38">
        <v>198706560</v>
      </c>
      <c r="M267" s="38">
        <v>637016003</v>
      </c>
      <c r="N267" s="38">
        <v>366698758</v>
      </c>
      <c r="O267" s="38">
        <v>369305553</v>
      </c>
      <c r="P267" s="38">
        <v>271141223</v>
      </c>
      <c r="Q267" s="38">
        <v>206388003</v>
      </c>
      <c r="R267" s="38">
        <v>69699327</v>
      </c>
    </row>
    <row r="268" spans="2:18" ht="33" x14ac:dyDescent="0.2">
      <c r="B268" s="30" t="s">
        <v>285</v>
      </c>
      <c r="C268" s="47">
        <v>36894</v>
      </c>
      <c r="D268" s="36" t="s">
        <v>39</v>
      </c>
      <c r="E268" s="38">
        <v>551903635</v>
      </c>
      <c r="F268" s="38">
        <v>551903635</v>
      </c>
      <c r="G268" s="38">
        <v>31687085</v>
      </c>
      <c r="H268" s="38">
        <v>35975380</v>
      </c>
      <c r="I268" s="38">
        <v>68312609</v>
      </c>
      <c r="J268" s="38">
        <v>39945220</v>
      </c>
      <c r="K268" s="38">
        <v>39501190</v>
      </c>
      <c r="L268" s="38">
        <v>36045340</v>
      </c>
      <c r="M268" s="38">
        <v>96465380</v>
      </c>
      <c r="N268" s="38">
        <v>40094395</v>
      </c>
      <c r="O268" s="38">
        <v>42701190</v>
      </c>
      <c r="P268" s="38">
        <v>37345231</v>
      </c>
      <c r="Q268" s="38">
        <v>37189361</v>
      </c>
      <c r="R268" s="38">
        <v>46641254</v>
      </c>
    </row>
    <row r="269" spans="2:18" ht="16.5" x14ac:dyDescent="0.2">
      <c r="B269" s="30" t="s">
        <v>285</v>
      </c>
      <c r="C269" s="32" t="s">
        <v>105</v>
      </c>
      <c r="D269" s="32" t="s">
        <v>42</v>
      </c>
      <c r="E269" s="33">
        <v>36382088</v>
      </c>
      <c r="F269" s="33">
        <v>36382088</v>
      </c>
      <c r="G269" s="33">
        <v>1199260</v>
      </c>
      <c r="H269" s="33">
        <v>2895649</v>
      </c>
      <c r="I269" s="33">
        <v>3798979</v>
      </c>
      <c r="J269" s="33">
        <v>3372239</v>
      </c>
      <c r="K269" s="33">
        <v>3638209</v>
      </c>
      <c r="L269" s="33">
        <v>3182209</v>
      </c>
      <c r="M269" s="33">
        <v>5119149</v>
      </c>
      <c r="N269" s="33">
        <v>4231414</v>
      </c>
      <c r="O269" s="33">
        <v>3638209</v>
      </c>
      <c r="P269" s="33">
        <v>2780425</v>
      </c>
      <c r="Q269" s="33">
        <v>1771425</v>
      </c>
      <c r="R269" s="33">
        <v>754921</v>
      </c>
    </row>
    <row r="270" spans="2:18" x14ac:dyDescent="0.2">
      <c r="B270" s="30" t="s">
        <v>285</v>
      </c>
      <c r="C270" s="39" t="s">
        <v>107</v>
      </c>
      <c r="D270" s="39" t="s">
        <v>44</v>
      </c>
      <c r="E270" s="40">
        <v>15598488</v>
      </c>
      <c r="F270" s="40">
        <v>15598488</v>
      </c>
      <c r="G270" s="40">
        <v>182760</v>
      </c>
      <c r="H270" s="40">
        <v>862649</v>
      </c>
      <c r="I270" s="40">
        <v>1652579</v>
      </c>
      <c r="J270" s="40">
        <v>1749879</v>
      </c>
      <c r="K270" s="40">
        <v>1559849</v>
      </c>
      <c r="L270" s="40">
        <v>1559849</v>
      </c>
      <c r="M270" s="40">
        <v>2024289</v>
      </c>
      <c r="N270" s="40">
        <v>1697054</v>
      </c>
      <c r="O270" s="40">
        <v>1559849</v>
      </c>
      <c r="P270" s="40">
        <v>1239885</v>
      </c>
      <c r="Q270" s="40">
        <v>754925</v>
      </c>
      <c r="R270" s="40">
        <v>754921</v>
      </c>
    </row>
    <row r="271" spans="2:18" ht="16.5" x14ac:dyDescent="0.2">
      <c r="B271" s="30" t="s">
        <v>285</v>
      </c>
      <c r="C271" s="39" t="s">
        <v>112</v>
      </c>
      <c r="D271" s="36" t="s">
        <v>113</v>
      </c>
      <c r="E271" s="40">
        <v>20783600</v>
      </c>
      <c r="F271" s="40">
        <v>20783600</v>
      </c>
      <c r="G271" s="40">
        <v>1016500</v>
      </c>
      <c r="H271" s="40">
        <v>2033000</v>
      </c>
      <c r="I271" s="40">
        <v>2146400</v>
      </c>
      <c r="J271" s="40">
        <v>1622360</v>
      </c>
      <c r="K271" s="40">
        <v>2078360</v>
      </c>
      <c r="L271" s="40">
        <v>1622360</v>
      </c>
      <c r="M271" s="40">
        <v>3094860</v>
      </c>
      <c r="N271" s="40">
        <v>2534360</v>
      </c>
      <c r="O271" s="40">
        <v>2078360</v>
      </c>
      <c r="P271" s="40">
        <v>1540540</v>
      </c>
      <c r="Q271" s="40">
        <v>1016500</v>
      </c>
      <c r="R271" s="41">
        <v>0</v>
      </c>
    </row>
    <row r="272" spans="2:18" ht="24.75" x14ac:dyDescent="0.2">
      <c r="B272" s="30" t="s">
        <v>285</v>
      </c>
      <c r="C272" s="37" t="s">
        <v>118</v>
      </c>
      <c r="D272" s="36" t="s">
        <v>46</v>
      </c>
      <c r="E272" s="38">
        <v>28550240</v>
      </c>
      <c r="F272" s="38">
        <v>28550240</v>
      </c>
      <c r="G272" s="45">
        <v>0</v>
      </c>
      <c r="H272" s="45">
        <v>0</v>
      </c>
      <c r="I272" s="38">
        <v>2550240</v>
      </c>
      <c r="J272" s="45">
        <v>0</v>
      </c>
      <c r="K272" s="45">
        <v>0</v>
      </c>
      <c r="L272" s="45">
        <v>0</v>
      </c>
      <c r="M272" s="38">
        <v>26000000</v>
      </c>
      <c r="N272" s="45">
        <v>0</v>
      </c>
      <c r="O272" s="45">
        <v>0</v>
      </c>
      <c r="P272" s="45">
        <v>0</v>
      </c>
      <c r="Q272" s="45">
        <v>0</v>
      </c>
      <c r="R272" s="45">
        <v>0</v>
      </c>
    </row>
    <row r="273" spans="2:18" ht="16.5" x14ac:dyDescent="0.2">
      <c r="B273" s="30" t="s">
        <v>285</v>
      </c>
      <c r="C273" s="39" t="s">
        <v>119</v>
      </c>
      <c r="D273" s="36" t="s">
        <v>120</v>
      </c>
      <c r="E273" s="41">
        <v>0</v>
      </c>
      <c r="F273" s="41">
        <v>0</v>
      </c>
      <c r="G273" s="41">
        <v>0</v>
      </c>
      <c r="H273" s="41">
        <v>0</v>
      </c>
      <c r="I273" s="41">
        <v>0</v>
      </c>
      <c r="J273" s="41">
        <v>0</v>
      </c>
      <c r="K273" s="41">
        <v>0</v>
      </c>
      <c r="L273" s="41">
        <v>0</v>
      </c>
      <c r="M273" s="41">
        <v>0</v>
      </c>
      <c r="N273" s="41">
        <v>0</v>
      </c>
      <c r="O273" s="41">
        <v>0</v>
      </c>
      <c r="P273" s="41">
        <v>0</v>
      </c>
      <c r="Q273" s="41">
        <v>0</v>
      </c>
      <c r="R273" s="41">
        <v>0</v>
      </c>
    </row>
    <row r="274" spans="2:18" x14ac:dyDescent="0.2">
      <c r="B274" s="30" t="s">
        <v>285</v>
      </c>
      <c r="C274" s="39" t="s">
        <v>280</v>
      </c>
      <c r="D274" s="39" t="s">
        <v>281</v>
      </c>
      <c r="E274" s="41">
        <v>0</v>
      </c>
      <c r="F274" s="41">
        <v>0</v>
      </c>
      <c r="G274" s="41">
        <v>0</v>
      </c>
      <c r="H274" s="41">
        <v>0</v>
      </c>
      <c r="I274" s="41">
        <v>0</v>
      </c>
      <c r="J274" s="41">
        <v>0</v>
      </c>
      <c r="K274" s="41">
        <v>0</v>
      </c>
      <c r="L274" s="41">
        <v>0</v>
      </c>
      <c r="M274" s="41">
        <v>0</v>
      </c>
      <c r="N274" s="41">
        <v>0</v>
      </c>
      <c r="O274" s="41">
        <v>0</v>
      </c>
      <c r="P274" s="41">
        <v>0</v>
      </c>
      <c r="Q274" s="41">
        <v>0</v>
      </c>
      <c r="R274" s="41">
        <v>0</v>
      </c>
    </row>
    <row r="275" spans="2:18" x14ac:dyDescent="0.2">
      <c r="B275" s="30" t="s">
        <v>285</v>
      </c>
      <c r="C275" s="39" t="s">
        <v>121</v>
      </c>
      <c r="D275" s="39" t="s">
        <v>122</v>
      </c>
      <c r="E275" s="41">
        <v>0</v>
      </c>
      <c r="F275" s="41">
        <v>0</v>
      </c>
      <c r="G275" s="41">
        <v>0</v>
      </c>
      <c r="H275" s="41">
        <v>0</v>
      </c>
      <c r="I275" s="41">
        <v>0</v>
      </c>
      <c r="J275" s="41">
        <v>0</v>
      </c>
      <c r="K275" s="41">
        <v>0</v>
      </c>
      <c r="L275" s="41">
        <v>0</v>
      </c>
      <c r="M275" s="41">
        <v>0</v>
      </c>
      <c r="N275" s="41">
        <v>0</v>
      </c>
      <c r="O275" s="41">
        <v>0</v>
      </c>
      <c r="P275" s="41">
        <v>0</v>
      </c>
      <c r="Q275" s="41">
        <v>0</v>
      </c>
      <c r="R275" s="41">
        <v>0</v>
      </c>
    </row>
    <row r="276" spans="2:18" x14ac:dyDescent="0.2">
      <c r="B276" s="30" t="s">
        <v>285</v>
      </c>
      <c r="C276" s="39" t="s">
        <v>123</v>
      </c>
      <c r="D276" s="39" t="s">
        <v>47</v>
      </c>
      <c r="E276" s="40">
        <v>2550240</v>
      </c>
      <c r="F276" s="40">
        <v>2550240</v>
      </c>
      <c r="G276" s="41">
        <v>0</v>
      </c>
      <c r="H276" s="41">
        <v>0</v>
      </c>
      <c r="I276" s="40">
        <v>2550240</v>
      </c>
      <c r="J276" s="41">
        <v>0</v>
      </c>
      <c r="K276" s="41">
        <v>0</v>
      </c>
      <c r="L276" s="41">
        <v>0</v>
      </c>
      <c r="M276" s="41">
        <v>0</v>
      </c>
      <c r="N276" s="41">
        <v>0</v>
      </c>
      <c r="O276" s="41">
        <v>0</v>
      </c>
      <c r="P276" s="41">
        <v>0</v>
      </c>
      <c r="Q276" s="41">
        <v>0</v>
      </c>
      <c r="R276" s="41">
        <v>0</v>
      </c>
    </row>
    <row r="277" spans="2:18" ht="16.5" x14ac:dyDescent="0.2">
      <c r="B277" s="30" t="s">
        <v>285</v>
      </c>
      <c r="C277" s="39" t="s">
        <v>282</v>
      </c>
      <c r="D277" s="36" t="s">
        <v>283</v>
      </c>
      <c r="E277" s="40">
        <v>26000000</v>
      </c>
      <c r="F277" s="40">
        <v>26000000</v>
      </c>
      <c r="G277" s="41">
        <v>0</v>
      </c>
      <c r="H277" s="41">
        <v>0</v>
      </c>
      <c r="I277" s="41">
        <v>0</v>
      </c>
      <c r="J277" s="41">
        <v>0</v>
      </c>
      <c r="K277" s="41">
        <v>0</v>
      </c>
      <c r="L277" s="41">
        <v>0</v>
      </c>
      <c r="M277" s="40">
        <v>26000000</v>
      </c>
      <c r="N277" s="41">
        <v>0</v>
      </c>
      <c r="O277" s="41">
        <v>0</v>
      </c>
      <c r="P277" s="41">
        <v>0</v>
      </c>
      <c r="Q277" s="41">
        <v>0</v>
      </c>
      <c r="R277" s="41">
        <v>0</v>
      </c>
    </row>
    <row r="278" spans="2:18" ht="24.75" x14ac:dyDescent="0.2">
      <c r="B278" s="30" t="s">
        <v>285</v>
      </c>
      <c r="C278" s="37" t="s">
        <v>124</v>
      </c>
      <c r="D278" s="36" t="s">
        <v>48</v>
      </c>
      <c r="E278" s="38">
        <v>384759002</v>
      </c>
      <c r="F278" s="38">
        <v>384759002</v>
      </c>
      <c r="G278" s="38">
        <v>27704575</v>
      </c>
      <c r="H278" s="38">
        <v>29002750</v>
      </c>
      <c r="I278" s="38">
        <v>52956294</v>
      </c>
      <c r="J278" s="38">
        <v>29002750</v>
      </c>
      <c r="K278" s="38">
        <v>29002750</v>
      </c>
      <c r="L278" s="38">
        <v>29002750</v>
      </c>
      <c r="M278" s="38">
        <v>29002750</v>
      </c>
      <c r="N278" s="38">
        <v>29002750</v>
      </c>
      <c r="O278" s="38">
        <v>29002750</v>
      </c>
      <c r="P278" s="38">
        <v>27704575</v>
      </c>
      <c r="Q278" s="38">
        <v>27704575</v>
      </c>
      <c r="R278" s="38">
        <v>45669733</v>
      </c>
    </row>
    <row r="279" spans="2:18" ht="16.5" x14ac:dyDescent="0.2">
      <c r="B279" s="30" t="s">
        <v>285</v>
      </c>
      <c r="C279" s="39" t="s">
        <v>126</v>
      </c>
      <c r="D279" s="39" t="s">
        <v>127</v>
      </c>
      <c r="E279" s="40">
        <v>25963500</v>
      </c>
      <c r="F279" s="40">
        <v>25963500</v>
      </c>
      <c r="G279" s="40">
        <v>1298175</v>
      </c>
      <c r="H279" s="40">
        <v>2596350</v>
      </c>
      <c r="I279" s="40">
        <v>2596350</v>
      </c>
      <c r="J279" s="40">
        <v>2596350</v>
      </c>
      <c r="K279" s="40">
        <v>2596350</v>
      </c>
      <c r="L279" s="40">
        <v>2596350</v>
      </c>
      <c r="M279" s="40">
        <v>2596350</v>
      </c>
      <c r="N279" s="40">
        <v>2596350</v>
      </c>
      <c r="O279" s="40">
        <v>2596350</v>
      </c>
      <c r="P279" s="40">
        <v>1298175</v>
      </c>
      <c r="Q279" s="40">
        <v>1298175</v>
      </c>
      <c r="R279" s="40">
        <v>1298175</v>
      </c>
    </row>
    <row r="280" spans="2:18" ht="16.5" x14ac:dyDescent="0.2">
      <c r="B280" s="30" t="s">
        <v>285</v>
      </c>
      <c r="C280" s="39" t="s">
        <v>128</v>
      </c>
      <c r="D280" s="36" t="s">
        <v>51</v>
      </c>
      <c r="E280" s="40">
        <v>358795502</v>
      </c>
      <c r="F280" s="40">
        <v>358795502</v>
      </c>
      <c r="G280" s="40">
        <v>26406400</v>
      </c>
      <c r="H280" s="40">
        <v>26406400</v>
      </c>
      <c r="I280" s="40">
        <v>50359944</v>
      </c>
      <c r="J280" s="40">
        <v>26406400</v>
      </c>
      <c r="K280" s="40">
        <v>26406400</v>
      </c>
      <c r="L280" s="40">
        <v>26406400</v>
      </c>
      <c r="M280" s="40">
        <v>26406400</v>
      </c>
      <c r="N280" s="40">
        <v>26406400</v>
      </c>
      <c r="O280" s="40">
        <v>26406400</v>
      </c>
      <c r="P280" s="40">
        <v>26406400</v>
      </c>
      <c r="Q280" s="40">
        <v>26406400</v>
      </c>
      <c r="R280" s="40">
        <v>44371558</v>
      </c>
    </row>
    <row r="281" spans="2:18" ht="33" x14ac:dyDescent="0.2">
      <c r="B281" s="30" t="s">
        <v>285</v>
      </c>
      <c r="C281" s="32" t="s">
        <v>129</v>
      </c>
      <c r="D281" s="36" t="s">
        <v>264</v>
      </c>
      <c r="E281" s="33">
        <v>102212305</v>
      </c>
      <c r="F281" s="33">
        <v>102212305</v>
      </c>
      <c r="G281" s="33">
        <v>2783250</v>
      </c>
      <c r="H281" s="33">
        <v>4076981</v>
      </c>
      <c r="I281" s="33">
        <v>9007096</v>
      </c>
      <c r="J281" s="33">
        <v>7570231</v>
      </c>
      <c r="K281" s="33">
        <v>6860231</v>
      </c>
      <c r="L281" s="33">
        <v>3860381</v>
      </c>
      <c r="M281" s="33">
        <v>36343481</v>
      </c>
      <c r="N281" s="33">
        <v>6860231</v>
      </c>
      <c r="O281" s="33">
        <v>10060231</v>
      </c>
      <c r="P281" s="33">
        <v>6860231</v>
      </c>
      <c r="Q281" s="33">
        <v>7713361</v>
      </c>
      <c r="R281" s="33">
        <v>216600</v>
      </c>
    </row>
    <row r="282" spans="2:18" x14ac:dyDescent="0.2">
      <c r="B282" s="30" t="s">
        <v>285</v>
      </c>
      <c r="C282" s="57" t="s">
        <v>52</v>
      </c>
      <c r="D282" s="60" t="s">
        <v>53</v>
      </c>
      <c r="E282" s="63" t="s">
        <v>54</v>
      </c>
      <c r="F282" s="66" t="s">
        <v>55</v>
      </c>
      <c r="G282" s="69" t="s">
        <v>56</v>
      </c>
      <c r="H282" s="70"/>
      <c r="I282" s="70"/>
      <c r="J282" s="70"/>
      <c r="K282" s="70"/>
      <c r="L282" s="71"/>
      <c r="M282" s="69" t="s">
        <v>57</v>
      </c>
      <c r="N282" s="70"/>
      <c r="O282" s="70"/>
      <c r="P282" s="70"/>
      <c r="Q282" s="70"/>
      <c r="R282" s="71"/>
    </row>
    <row r="283" spans="2:18" x14ac:dyDescent="0.2">
      <c r="B283" s="30" t="s">
        <v>285</v>
      </c>
      <c r="C283" s="58"/>
      <c r="D283" s="61"/>
      <c r="E283" s="64"/>
      <c r="F283" s="67"/>
      <c r="G283" s="69" t="s">
        <v>58</v>
      </c>
      <c r="H283" s="70"/>
      <c r="I283" s="71"/>
      <c r="J283" s="69" t="s">
        <v>59</v>
      </c>
      <c r="K283" s="70"/>
      <c r="L283" s="71"/>
      <c r="M283" s="69" t="s">
        <v>60</v>
      </c>
      <c r="N283" s="70"/>
      <c r="O283" s="71"/>
      <c r="P283" s="69" t="s">
        <v>61</v>
      </c>
      <c r="Q283" s="70"/>
      <c r="R283" s="71"/>
    </row>
    <row r="284" spans="2:18" x14ac:dyDescent="0.2">
      <c r="B284" s="30" t="s">
        <v>285</v>
      </c>
      <c r="C284" s="59"/>
      <c r="D284" s="62"/>
      <c r="E284" s="65"/>
      <c r="F284" s="68"/>
      <c r="G284" s="28" t="s">
        <v>62</v>
      </c>
      <c r="H284" s="28" t="s">
        <v>63</v>
      </c>
      <c r="I284" s="29" t="s">
        <v>64</v>
      </c>
      <c r="J284" s="29" t="s">
        <v>65</v>
      </c>
      <c r="K284" s="29" t="s">
        <v>66</v>
      </c>
      <c r="L284" s="29" t="s">
        <v>67</v>
      </c>
      <c r="M284" s="29" t="s">
        <v>68</v>
      </c>
      <c r="N284" s="28" t="s">
        <v>69</v>
      </c>
      <c r="O284" s="28" t="s">
        <v>70</v>
      </c>
      <c r="P284" s="28" t="s">
        <v>71</v>
      </c>
      <c r="Q284" s="28" t="s">
        <v>72</v>
      </c>
      <c r="R284" s="28" t="s">
        <v>73</v>
      </c>
    </row>
    <row r="285" spans="2:18" ht="33" x14ac:dyDescent="0.2">
      <c r="B285" s="30" t="s">
        <v>285</v>
      </c>
      <c r="C285" s="42" t="s">
        <v>130</v>
      </c>
      <c r="D285" s="39" t="s">
        <v>265</v>
      </c>
      <c r="E285" s="43">
        <v>75502305</v>
      </c>
      <c r="F285" s="43">
        <v>75502305</v>
      </c>
      <c r="G285" s="43">
        <v>2783250</v>
      </c>
      <c r="H285" s="43">
        <v>4076981</v>
      </c>
      <c r="I285" s="43">
        <v>9007096</v>
      </c>
      <c r="J285" s="43">
        <v>6860231</v>
      </c>
      <c r="K285" s="43">
        <v>6860231</v>
      </c>
      <c r="L285" s="43">
        <v>3860381</v>
      </c>
      <c r="M285" s="43">
        <v>10343481</v>
      </c>
      <c r="N285" s="43">
        <v>6860231</v>
      </c>
      <c r="O285" s="43">
        <v>10060231</v>
      </c>
      <c r="P285" s="43">
        <v>6860231</v>
      </c>
      <c r="Q285" s="43">
        <v>7713361</v>
      </c>
      <c r="R285" s="43">
        <v>216600</v>
      </c>
    </row>
    <row r="286" spans="2:18" ht="16.5" x14ac:dyDescent="0.2">
      <c r="B286" s="30" t="s">
        <v>285</v>
      </c>
      <c r="C286" s="42" t="s">
        <v>131</v>
      </c>
      <c r="D286" s="36" t="s">
        <v>76</v>
      </c>
      <c r="E286" s="43">
        <v>710000</v>
      </c>
      <c r="F286" s="43">
        <v>710000</v>
      </c>
      <c r="G286" s="44">
        <v>0</v>
      </c>
      <c r="H286" s="44">
        <v>0</v>
      </c>
      <c r="I286" s="44">
        <v>0</v>
      </c>
      <c r="J286" s="43">
        <v>710000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4">
        <v>0</v>
      </c>
      <c r="R286" s="44">
        <v>0</v>
      </c>
    </row>
    <row r="287" spans="2:18" ht="16.5" x14ac:dyDescent="0.2">
      <c r="B287" s="30" t="s">
        <v>285</v>
      </c>
      <c r="C287" s="39" t="s">
        <v>134</v>
      </c>
      <c r="D287" s="36" t="s">
        <v>284</v>
      </c>
      <c r="E287" s="40">
        <v>26000000</v>
      </c>
      <c r="F287" s="40">
        <v>26000000</v>
      </c>
      <c r="G287" s="41">
        <v>0</v>
      </c>
      <c r="H287" s="41">
        <v>0</v>
      </c>
      <c r="I287" s="41">
        <v>0</v>
      </c>
      <c r="J287" s="41">
        <v>0</v>
      </c>
      <c r="K287" s="41">
        <v>0</v>
      </c>
      <c r="L287" s="41">
        <v>0</v>
      </c>
      <c r="M287" s="40">
        <v>26000000</v>
      </c>
      <c r="N287" s="41">
        <v>0</v>
      </c>
      <c r="O287" s="41">
        <v>0</v>
      </c>
      <c r="P287" s="41">
        <v>0</v>
      </c>
      <c r="Q287" s="41">
        <v>0</v>
      </c>
      <c r="R287" s="41">
        <v>0</v>
      </c>
    </row>
    <row r="288" spans="2:18" ht="24.75" x14ac:dyDescent="0.2">
      <c r="B288" s="30" t="s">
        <v>285</v>
      </c>
      <c r="C288" s="47">
        <v>40181</v>
      </c>
      <c r="D288" s="36" t="s">
        <v>189</v>
      </c>
      <c r="E288" s="38">
        <v>2559985717</v>
      </c>
      <c r="F288" s="38">
        <v>2559985717</v>
      </c>
      <c r="G288" s="38">
        <v>3300800</v>
      </c>
      <c r="H288" s="38">
        <v>127896368</v>
      </c>
      <c r="I288" s="38">
        <v>201401227</v>
      </c>
      <c r="J288" s="38">
        <v>246225992</v>
      </c>
      <c r="K288" s="38">
        <v>198688054</v>
      </c>
      <c r="L288" s="38">
        <v>162661220</v>
      </c>
      <c r="M288" s="38">
        <v>540550623</v>
      </c>
      <c r="N288" s="38">
        <v>326604363</v>
      </c>
      <c r="O288" s="38">
        <v>326604363</v>
      </c>
      <c r="P288" s="38">
        <v>233795992</v>
      </c>
      <c r="Q288" s="38">
        <v>169198642</v>
      </c>
      <c r="R288" s="38">
        <v>23058073</v>
      </c>
    </row>
    <row r="289" spans="2:18" x14ac:dyDescent="0.2">
      <c r="B289" s="30" t="s">
        <v>285</v>
      </c>
      <c r="C289" s="32" t="s">
        <v>190</v>
      </c>
      <c r="D289" s="32" t="s">
        <v>191</v>
      </c>
      <c r="E289" s="33">
        <v>2559985717</v>
      </c>
      <c r="F289" s="33">
        <v>2559985717</v>
      </c>
      <c r="G289" s="33">
        <v>3300800</v>
      </c>
      <c r="H289" s="33">
        <v>127896368</v>
      </c>
      <c r="I289" s="33">
        <v>201401227</v>
      </c>
      <c r="J289" s="33">
        <v>246225992</v>
      </c>
      <c r="K289" s="33">
        <v>198688054</v>
      </c>
      <c r="L289" s="33">
        <v>162661220</v>
      </c>
      <c r="M289" s="33">
        <v>540550623</v>
      </c>
      <c r="N289" s="33">
        <v>326604363</v>
      </c>
      <c r="O289" s="33">
        <v>326604363</v>
      </c>
      <c r="P289" s="33">
        <v>233795992</v>
      </c>
      <c r="Q289" s="33">
        <v>169198642</v>
      </c>
      <c r="R289" s="33">
        <v>23058073</v>
      </c>
    </row>
    <row r="290" spans="2:18" x14ac:dyDescent="0.2">
      <c r="B290" s="30" t="s">
        <v>285</v>
      </c>
      <c r="C290" s="39" t="s">
        <v>260</v>
      </c>
      <c r="D290" s="39" t="s">
        <v>261</v>
      </c>
      <c r="E290" s="40">
        <v>2092095924</v>
      </c>
      <c r="F290" s="40">
        <v>2092095924</v>
      </c>
      <c r="G290" s="41">
        <v>0</v>
      </c>
      <c r="H290" s="40">
        <v>124595568</v>
      </c>
      <c r="I290" s="40">
        <v>195106234</v>
      </c>
      <c r="J290" s="40">
        <v>220396592</v>
      </c>
      <c r="K290" s="40">
        <v>161594354</v>
      </c>
      <c r="L290" s="40">
        <v>125567520</v>
      </c>
      <c r="M290" s="40">
        <v>292192623</v>
      </c>
      <c r="N290" s="40">
        <v>289510663</v>
      </c>
      <c r="O290" s="40">
        <v>289510663</v>
      </c>
      <c r="P290" s="40">
        <v>207966592</v>
      </c>
      <c r="Q290" s="40">
        <v>165897842</v>
      </c>
      <c r="R290" s="40">
        <v>19757273</v>
      </c>
    </row>
    <row r="291" spans="2:18" x14ac:dyDescent="0.2">
      <c r="B291" s="30" t="s">
        <v>285</v>
      </c>
      <c r="C291" s="39" t="s">
        <v>266</v>
      </c>
      <c r="D291" s="39" t="s">
        <v>267</v>
      </c>
      <c r="E291" s="40">
        <v>200000000</v>
      </c>
      <c r="F291" s="40">
        <v>200000000</v>
      </c>
      <c r="G291" s="41">
        <v>0</v>
      </c>
      <c r="H291" s="41">
        <v>0</v>
      </c>
      <c r="I291" s="41">
        <v>0</v>
      </c>
      <c r="J291" s="41">
        <v>0</v>
      </c>
      <c r="K291" s="41">
        <v>0</v>
      </c>
      <c r="L291" s="41">
        <v>0</v>
      </c>
      <c r="M291" s="40">
        <v>200000000</v>
      </c>
      <c r="N291" s="41">
        <v>0</v>
      </c>
      <c r="O291" s="41">
        <v>0</v>
      </c>
      <c r="P291" s="41">
        <v>0</v>
      </c>
      <c r="Q291" s="41">
        <v>0</v>
      </c>
      <c r="R291" s="41">
        <v>0</v>
      </c>
    </row>
    <row r="292" spans="2:18" x14ac:dyDescent="0.2">
      <c r="B292" s="30" t="s">
        <v>285</v>
      </c>
      <c r="C292" s="39" t="s">
        <v>268</v>
      </c>
      <c r="D292" s="39" t="s">
        <v>269</v>
      </c>
      <c r="E292" s="40">
        <v>225286000</v>
      </c>
      <c r="F292" s="40">
        <v>225286000</v>
      </c>
      <c r="G292" s="41">
        <v>0</v>
      </c>
      <c r="H292" s="41">
        <v>0</v>
      </c>
      <c r="I292" s="41">
        <v>0</v>
      </c>
      <c r="J292" s="40">
        <v>22528600</v>
      </c>
      <c r="K292" s="40">
        <v>33792900</v>
      </c>
      <c r="L292" s="40">
        <v>33792900</v>
      </c>
      <c r="M292" s="40">
        <v>45057200</v>
      </c>
      <c r="N292" s="40">
        <v>33792900</v>
      </c>
      <c r="O292" s="40">
        <v>33792900</v>
      </c>
      <c r="P292" s="40">
        <v>22528600</v>
      </c>
      <c r="Q292" s="41">
        <v>0</v>
      </c>
      <c r="R292" s="41">
        <v>0</v>
      </c>
    </row>
    <row r="293" spans="2:18" ht="24.75" x14ac:dyDescent="0.2">
      <c r="B293" s="30" t="s">
        <v>285</v>
      </c>
      <c r="C293" s="39" t="s">
        <v>214</v>
      </c>
      <c r="D293" s="36" t="s">
        <v>215</v>
      </c>
      <c r="E293" s="40">
        <v>42603793</v>
      </c>
      <c r="F293" s="40">
        <v>42603793</v>
      </c>
      <c r="G293" s="40">
        <v>3300800</v>
      </c>
      <c r="H293" s="40">
        <v>3300800</v>
      </c>
      <c r="I293" s="40">
        <v>6294993</v>
      </c>
      <c r="J293" s="40">
        <v>3300800</v>
      </c>
      <c r="K293" s="40">
        <v>3300800</v>
      </c>
      <c r="L293" s="40">
        <v>3300800</v>
      </c>
      <c r="M293" s="40">
        <v>3300800</v>
      </c>
      <c r="N293" s="40">
        <v>3300800</v>
      </c>
      <c r="O293" s="40">
        <v>3300800</v>
      </c>
      <c r="P293" s="40">
        <v>3300800</v>
      </c>
      <c r="Q293" s="40">
        <v>3300800</v>
      </c>
      <c r="R293" s="40">
        <v>3300800</v>
      </c>
    </row>
    <row r="294" spans="2:18" ht="16.5" x14ac:dyDescent="0.2">
      <c r="C294" s="30" t="s">
        <v>287</v>
      </c>
      <c r="D294" s="30" t="s">
        <v>288</v>
      </c>
      <c r="E294" s="31">
        <v>4150403726</v>
      </c>
      <c r="F294" s="31">
        <v>4150403726</v>
      </c>
      <c r="G294" s="31">
        <v>46854648</v>
      </c>
      <c r="H294" s="31">
        <v>218222694</v>
      </c>
      <c r="I294" s="31">
        <v>378619039</v>
      </c>
      <c r="J294" s="31">
        <v>332096217</v>
      </c>
      <c r="K294" s="31">
        <v>334040991</v>
      </c>
      <c r="L294" s="31">
        <v>350040342</v>
      </c>
      <c r="M294" s="31">
        <v>1185923406</v>
      </c>
      <c r="N294" s="31">
        <v>406780556</v>
      </c>
      <c r="O294" s="31">
        <v>438439089</v>
      </c>
      <c r="P294" s="31">
        <v>182565644</v>
      </c>
      <c r="Q294" s="31">
        <v>175609019</v>
      </c>
      <c r="R294" s="31">
        <v>101212081</v>
      </c>
    </row>
    <row r="295" spans="2:18" ht="33" x14ac:dyDescent="0.2">
      <c r="B295" s="30" t="s">
        <v>287</v>
      </c>
      <c r="C295" s="32" t="s">
        <v>84</v>
      </c>
      <c r="D295" s="36" t="s">
        <v>275</v>
      </c>
      <c r="E295" s="33">
        <v>4150403726</v>
      </c>
      <c r="F295" s="33">
        <v>4150403726</v>
      </c>
      <c r="G295" s="33">
        <v>46854648</v>
      </c>
      <c r="H295" s="33">
        <v>218222694</v>
      </c>
      <c r="I295" s="33">
        <v>378619039</v>
      </c>
      <c r="J295" s="33">
        <v>332096217</v>
      </c>
      <c r="K295" s="33">
        <v>334040991</v>
      </c>
      <c r="L295" s="33">
        <v>350040342</v>
      </c>
      <c r="M295" s="33">
        <v>1185923406</v>
      </c>
      <c r="N295" s="33">
        <v>406780556</v>
      </c>
      <c r="O295" s="33">
        <v>438439089</v>
      </c>
      <c r="P295" s="33">
        <v>182565644</v>
      </c>
      <c r="Q295" s="33">
        <v>175609019</v>
      </c>
      <c r="R295" s="33">
        <v>101212081</v>
      </c>
    </row>
    <row r="296" spans="2:18" ht="33" x14ac:dyDescent="0.2">
      <c r="B296" s="30" t="s">
        <v>287</v>
      </c>
      <c r="C296" s="34">
        <v>36894</v>
      </c>
      <c r="D296" s="36" t="s">
        <v>39</v>
      </c>
      <c r="E296" s="33">
        <v>634776646</v>
      </c>
      <c r="F296" s="33">
        <v>634776646</v>
      </c>
      <c r="G296" s="33">
        <v>31810984</v>
      </c>
      <c r="H296" s="33">
        <v>48304132</v>
      </c>
      <c r="I296" s="33">
        <v>77468808</v>
      </c>
      <c r="J296" s="33">
        <v>50422758</v>
      </c>
      <c r="K296" s="33">
        <v>52367532</v>
      </c>
      <c r="L296" s="33">
        <v>66878497</v>
      </c>
      <c r="M296" s="33">
        <v>84145049</v>
      </c>
      <c r="N296" s="33">
        <v>53754156</v>
      </c>
      <c r="O296" s="33">
        <v>52210732</v>
      </c>
      <c r="P296" s="33">
        <v>41997082</v>
      </c>
      <c r="Q296" s="33">
        <v>38590458</v>
      </c>
      <c r="R296" s="33">
        <v>36826458</v>
      </c>
    </row>
    <row r="297" spans="2:18" ht="16.5" x14ac:dyDescent="0.2">
      <c r="B297" s="30" t="s">
        <v>287</v>
      </c>
      <c r="C297" s="32" t="s">
        <v>105</v>
      </c>
      <c r="D297" s="32" t="s">
        <v>42</v>
      </c>
      <c r="E297" s="33">
        <v>90260480</v>
      </c>
      <c r="F297" s="33">
        <v>90260480</v>
      </c>
      <c r="G297" s="33">
        <v>1461050</v>
      </c>
      <c r="H297" s="33">
        <v>8619998</v>
      </c>
      <c r="I297" s="33">
        <v>6109524</v>
      </c>
      <c r="J297" s="33">
        <v>7083524</v>
      </c>
      <c r="K297" s="33">
        <v>9107048</v>
      </c>
      <c r="L297" s="33">
        <v>9007048</v>
      </c>
      <c r="M297" s="33">
        <v>12218072</v>
      </c>
      <c r="N297" s="33">
        <v>12218072</v>
      </c>
      <c r="O297" s="33">
        <v>11004648</v>
      </c>
      <c r="P297" s="33">
        <v>6126248</v>
      </c>
      <c r="Q297" s="33">
        <v>3652624</v>
      </c>
      <c r="R297" s="33">
        <v>3652624</v>
      </c>
    </row>
    <row r="298" spans="2:18" x14ac:dyDescent="0.2">
      <c r="B298" s="30" t="s">
        <v>287</v>
      </c>
      <c r="C298" s="39" t="s">
        <v>107</v>
      </c>
      <c r="D298" s="39" t="s">
        <v>44</v>
      </c>
      <c r="E298" s="40">
        <v>15000000</v>
      </c>
      <c r="F298" s="40">
        <v>15000000</v>
      </c>
      <c r="G298" s="41">
        <v>0</v>
      </c>
      <c r="H298" s="40">
        <v>2334200</v>
      </c>
      <c r="I298" s="40">
        <v>2015300</v>
      </c>
      <c r="J298" s="40">
        <v>2989300</v>
      </c>
      <c r="K298" s="40">
        <v>1360200</v>
      </c>
      <c r="L298" s="40">
        <v>1260200</v>
      </c>
      <c r="M298" s="40">
        <v>1260200</v>
      </c>
      <c r="N298" s="40">
        <v>1260200</v>
      </c>
      <c r="O298" s="40">
        <v>1260200</v>
      </c>
      <c r="P298" s="40">
        <v>1260200</v>
      </c>
      <c r="Q298" s="41">
        <v>0</v>
      </c>
      <c r="R298" s="41">
        <v>0</v>
      </c>
    </row>
    <row r="299" spans="2:18" ht="16.5" x14ac:dyDescent="0.2">
      <c r="B299" s="30" t="s">
        <v>287</v>
      </c>
      <c r="C299" s="39" t="s">
        <v>112</v>
      </c>
      <c r="D299" s="39" t="s">
        <v>80</v>
      </c>
      <c r="E299" s="40">
        <v>75260480</v>
      </c>
      <c r="F299" s="40">
        <v>75260480</v>
      </c>
      <c r="G299" s="40">
        <v>1461050</v>
      </c>
      <c r="H299" s="40">
        <v>6285798</v>
      </c>
      <c r="I299" s="40">
        <v>4094224</v>
      </c>
      <c r="J299" s="40">
        <v>4094224</v>
      </c>
      <c r="K299" s="40">
        <v>7746848</v>
      </c>
      <c r="L299" s="40">
        <v>7746848</v>
      </c>
      <c r="M299" s="40">
        <v>10957872</v>
      </c>
      <c r="N299" s="40">
        <v>10957872</v>
      </c>
      <c r="O299" s="40">
        <v>9744448</v>
      </c>
      <c r="P299" s="40">
        <v>4866048</v>
      </c>
      <c r="Q299" s="40">
        <v>3652624</v>
      </c>
      <c r="R299" s="40">
        <v>3652624</v>
      </c>
    </row>
    <row r="300" spans="2:18" ht="24.75" x14ac:dyDescent="0.2">
      <c r="B300" s="30" t="s">
        <v>287</v>
      </c>
      <c r="C300" s="32" t="s">
        <v>118</v>
      </c>
      <c r="D300" s="36" t="s">
        <v>46</v>
      </c>
      <c r="E300" s="33">
        <v>6269664</v>
      </c>
      <c r="F300" s="33">
        <v>6269664</v>
      </c>
      <c r="G300" s="46">
        <v>0</v>
      </c>
      <c r="H300" s="46">
        <v>0</v>
      </c>
      <c r="I300" s="46">
        <v>0</v>
      </c>
      <c r="J300" s="46">
        <v>0</v>
      </c>
      <c r="K300" s="46">
        <v>0</v>
      </c>
      <c r="L300" s="46">
        <v>0</v>
      </c>
      <c r="M300" s="33">
        <v>6269664</v>
      </c>
      <c r="N300" s="46">
        <v>0</v>
      </c>
      <c r="O300" s="46">
        <v>0</v>
      </c>
      <c r="P300" s="46">
        <v>0</v>
      </c>
      <c r="Q300" s="46">
        <v>0</v>
      </c>
      <c r="R300" s="46">
        <v>0</v>
      </c>
    </row>
    <row r="301" spans="2:18" x14ac:dyDescent="0.2">
      <c r="B301" s="30" t="s">
        <v>287</v>
      </c>
      <c r="C301" s="39" t="s">
        <v>123</v>
      </c>
      <c r="D301" s="39" t="s">
        <v>47</v>
      </c>
      <c r="E301" s="40">
        <v>6269664</v>
      </c>
      <c r="F301" s="40">
        <v>6269664</v>
      </c>
      <c r="G301" s="41">
        <v>0</v>
      </c>
      <c r="H301" s="41">
        <v>0</v>
      </c>
      <c r="I301" s="41">
        <v>0</v>
      </c>
      <c r="J301" s="41">
        <v>0</v>
      </c>
      <c r="K301" s="41">
        <v>0</v>
      </c>
      <c r="L301" s="41">
        <v>0</v>
      </c>
      <c r="M301" s="40">
        <v>6269664</v>
      </c>
      <c r="N301" s="41">
        <v>0</v>
      </c>
      <c r="O301" s="41">
        <v>0</v>
      </c>
      <c r="P301" s="41">
        <v>0</v>
      </c>
      <c r="Q301" s="41">
        <v>0</v>
      </c>
      <c r="R301" s="41">
        <v>0</v>
      </c>
    </row>
    <row r="302" spans="2:18" ht="16.5" x14ac:dyDescent="0.2">
      <c r="B302" s="30" t="s">
        <v>287</v>
      </c>
      <c r="C302" s="32" t="s">
        <v>124</v>
      </c>
      <c r="D302" s="32" t="s">
        <v>276</v>
      </c>
      <c r="E302" s="33">
        <v>391131773</v>
      </c>
      <c r="F302" s="33">
        <v>391131773</v>
      </c>
      <c r="G302" s="33">
        <v>28247334</v>
      </c>
      <c r="H302" s="33">
        <v>29305734</v>
      </c>
      <c r="I302" s="33">
        <v>53155284</v>
      </c>
      <c r="J302" s="33">
        <v>29463234</v>
      </c>
      <c r="K302" s="33">
        <v>29384484</v>
      </c>
      <c r="L302" s="33">
        <v>44355449</v>
      </c>
      <c r="M302" s="33">
        <v>30090084</v>
      </c>
      <c r="N302" s="33">
        <v>30090084</v>
      </c>
      <c r="O302" s="33">
        <v>29760084</v>
      </c>
      <c r="P302" s="33">
        <v>29681334</v>
      </c>
      <c r="Q302" s="33">
        <v>29681334</v>
      </c>
      <c r="R302" s="33">
        <v>27917334</v>
      </c>
    </row>
    <row r="303" spans="2:18" ht="16.5" x14ac:dyDescent="0.2">
      <c r="B303" s="30" t="s">
        <v>287</v>
      </c>
      <c r="C303" s="39" t="s">
        <v>126</v>
      </c>
      <c r="D303" s="36" t="s">
        <v>50</v>
      </c>
      <c r="E303" s="40">
        <v>43455000</v>
      </c>
      <c r="F303" s="40">
        <v>43455000</v>
      </c>
      <c r="G303" s="40">
        <v>2502750</v>
      </c>
      <c r="H303" s="40">
        <v>3561150</v>
      </c>
      <c r="I303" s="40">
        <v>3639900</v>
      </c>
      <c r="J303" s="40">
        <v>3718650</v>
      </c>
      <c r="K303" s="40">
        <v>3639900</v>
      </c>
      <c r="L303" s="40">
        <v>3639900</v>
      </c>
      <c r="M303" s="40">
        <v>4345500</v>
      </c>
      <c r="N303" s="40">
        <v>4345500</v>
      </c>
      <c r="O303" s="40">
        <v>4015500</v>
      </c>
      <c r="P303" s="40">
        <v>3936750</v>
      </c>
      <c r="Q303" s="40">
        <v>3936750</v>
      </c>
      <c r="R303" s="40">
        <v>2172750</v>
      </c>
    </row>
    <row r="304" spans="2:18" ht="16.5" x14ac:dyDescent="0.2">
      <c r="B304" s="30" t="s">
        <v>287</v>
      </c>
      <c r="C304" s="42" t="s">
        <v>128</v>
      </c>
      <c r="D304" s="36" t="s">
        <v>51</v>
      </c>
      <c r="E304" s="43">
        <v>347676773</v>
      </c>
      <c r="F304" s="43">
        <v>347676773</v>
      </c>
      <c r="G304" s="43">
        <v>25744584</v>
      </c>
      <c r="H304" s="43">
        <v>25744584</v>
      </c>
      <c r="I304" s="43">
        <v>49515384</v>
      </c>
      <c r="J304" s="43">
        <v>25744584</v>
      </c>
      <c r="K304" s="43">
        <v>25744584</v>
      </c>
      <c r="L304" s="43">
        <v>40715549</v>
      </c>
      <c r="M304" s="43">
        <v>25744584</v>
      </c>
      <c r="N304" s="43">
        <v>25744584</v>
      </c>
      <c r="O304" s="43">
        <v>25744584</v>
      </c>
      <c r="P304" s="43">
        <v>25744584</v>
      </c>
      <c r="Q304" s="43">
        <v>25744584</v>
      </c>
      <c r="R304" s="43">
        <v>25744584</v>
      </c>
    </row>
    <row r="305" spans="2:18" ht="33" x14ac:dyDescent="0.2">
      <c r="B305" s="30" t="s">
        <v>287</v>
      </c>
      <c r="C305" s="32" t="s">
        <v>129</v>
      </c>
      <c r="D305" s="36" t="s">
        <v>264</v>
      </c>
      <c r="E305" s="33">
        <v>147114729</v>
      </c>
      <c r="F305" s="33">
        <v>147114729</v>
      </c>
      <c r="G305" s="33">
        <v>2102600</v>
      </c>
      <c r="H305" s="33">
        <v>10378400</v>
      </c>
      <c r="I305" s="33">
        <v>18204000</v>
      </c>
      <c r="J305" s="33">
        <v>13876000</v>
      </c>
      <c r="K305" s="33">
        <v>13876000</v>
      </c>
      <c r="L305" s="33">
        <v>13516000</v>
      </c>
      <c r="M305" s="33">
        <v>35567229</v>
      </c>
      <c r="N305" s="33">
        <v>11446000</v>
      </c>
      <c r="O305" s="33">
        <v>11446000</v>
      </c>
      <c r="P305" s="33">
        <v>6189500</v>
      </c>
      <c r="Q305" s="33">
        <v>5256500</v>
      </c>
      <c r="R305" s="33">
        <v>5256500</v>
      </c>
    </row>
    <row r="306" spans="2:18" x14ac:dyDescent="0.2">
      <c r="B306" s="30" t="s">
        <v>287</v>
      </c>
      <c r="C306" s="57" t="s">
        <v>52</v>
      </c>
      <c r="D306" s="60" t="s">
        <v>53</v>
      </c>
      <c r="E306" s="63" t="s">
        <v>54</v>
      </c>
      <c r="F306" s="66" t="s">
        <v>55</v>
      </c>
      <c r="G306" s="69" t="s">
        <v>56</v>
      </c>
      <c r="H306" s="70"/>
      <c r="I306" s="70"/>
      <c r="J306" s="70"/>
      <c r="K306" s="70"/>
      <c r="L306" s="71"/>
      <c r="M306" s="69" t="s">
        <v>57</v>
      </c>
      <c r="N306" s="70"/>
      <c r="O306" s="70"/>
      <c r="P306" s="70"/>
      <c r="Q306" s="70"/>
      <c r="R306" s="71"/>
    </row>
    <row r="307" spans="2:18" x14ac:dyDescent="0.2">
      <c r="B307" s="30" t="s">
        <v>287</v>
      </c>
      <c r="C307" s="58"/>
      <c r="D307" s="61"/>
      <c r="E307" s="64"/>
      <c r="F307" s="67"/>
      <c r="G307" s="69" t="s">
        <v>58</v>
      </c>
      <c r="H307" s="70"/>
      <c r="I307" s="71"/>
      <c r="J307" s="69" t="s">
        <v>59</v>
      </c>
      <c r="K307" s="70"/>
      <c r="L307" s="71"/>
      <c r="M307" s="69" t="s">
        <v>60</v>
      </c>
      <c r="N307" s="70"/>
      <c r="O307" s="71"/>
      <c r="P307" s="69" t="s">
        <v>61</v>
      </c>
      <c r="Q307" s="70"/>
      <c r="R307" s="71"/>
    </row>
    <row r="308" spans="2:18" x14ac:dyDescent="0.2">
      <c r="B308" s="30" t="s">
        <v>287</v>
      </c>
      <c r="C308" s="59"/>
      <c r="D308" s="62"/>
      <c r="E308" s="65"/>
      <c r="F308" s="68"/>
      <c r="G308" s="28" t="s">
        <v>62</v>
      </c>
      <c r="H308" s="28" t="s">
        <v>63</v>
      </c>
      <c r="I308" s="29" t="s">
        <v>64</v>
      </c>
      <c r="J308" s="29" t="s">
        <v>65</v>
      </c>
      <c r="K308" s="29" t="s">
        <v>66</v>
      </c>
      <c r="L308" s="29" t="s">
        <v>67</v>
      </c>
      <c r="M308" s="29" t="s">
        <v>68</v>
      </c>
      <c r="N308" s="28" t="s">
        <v>69</v>
      </c>
      <c r="O308" s="28" t="s">
        <v>70</v>
      </c>
      <c r="P308" s="28" t="s">
        <v>71</v>
      </c>
      <c r="Q308" s="28" t="s">
        <v>72</v>
      </c>
      <c r="R308" s="28" t="s">
        <v>73</v>
      </c>
    </row>
    <row r="309" spans="2:18" ht="33" x14ac:dyDescent="0.2">
      <c r="B309" s="30" t="s">
        <v>287</v>
      </c>
      <c r="C309" s="42" t="s">
        <v>130</v>
      </c>
      <c r="D309" s="39" t="s">
        <v>265</v>
      </c>
      <c r="E309" s="43">
        <v>112030000</v>
      </c>
      <c r="F309" s="43">
        <v>112030000</v>
      </c>
      <c r="G309" s="43">
        <v>2102600</v>
      </c>
      <c r="H309" s="43">
        <v>9445400</v>
      </c>
      <c r="I309" s="43">
        <v>16804500</v>
      </c>
      <c r="J309" s="43">
        <v>11893000</v>
      </c>
      <c r="K309" s="43">
        <v>11893000</v>
      </c>
      <c r="L309" s="43">
        <v>12583000</v>
      </c>
      <c r="M309" s="43">
        <v>10513000</v>
      </c>
      <c r="N309" s="43">
        <v>10513000</v>
      </c>
      <c r="O309" s="43">
        <v>10513000</v>
      </c>
      <c r="P309" s="43">
        <v>5256500</v>
      </c>
      <c r="Q309" s="43">
        <v>5256500</v>
      </c>
      <c r="R309" s="43">
        <v>5256500</v>
      </c>
    </row>
    <row r="310" spans="2:18" ht="16.5" x14ac:dyDescent="0.2">
      <c r="B310" s="30" t="s">
        <v>287</v>
      </c>
      <c r="C310" s="42" t="s">
        <v>131</v>
      </c>
      <c r="D310" s="36" t="s">
        <v>76</v>
      </c>
      <c r="E310" s="43">
        <v>11430000</v>
      </c>
      <c r="F310" s="43">
        <v>11430000</v>
      </c>
      <c r="G310" s="44">
        <v>0</v>
      </c>
      <c r="H310" s="43">
        <v>933000</v>
      </c>
      <c r="I310" s="43">
        <v>1399500</v>
      </c>
      <c r="J310" s="43">
        <v>1983000</v>
      </c>
      <c r="K310" s="43">
        <v>1983000</v>
      </c>
      <c r="L310" s="43">
        <v>933000</v>
      </c>
      <c r="M310" s="43">
        <v>1399500</v>
      </c>
      <c r="N310" s="43">
        <v>933000</v>
      </c>
      <c r="O310" s="43">
        <v>933000</v>
      </c>
      <c r="P310" s="43">
        <v>933000</v>
      </c>
      <c r="Q310" s="44">
        <v>0</v>
      </c>
      <c r="R310" s="44">
        <v>0</v>
      </c>
    </row>
    <row r="311" spans="2:18" ht="16.5" x14ac:dyDescent="0.2">
      <c r="B311" s="30" t="s">
        <v>287</v>
      </c>
      <c r="C311" s="39" t="s">
        <v>134</v>
      </c>
      <c r="D311" s="36" t="s">
        <v>284</v>
      </c>
      <c r="E311" s="40">
        <v>23654729</v>
      </c>
      <c r="F311" s="40">
        <v>23654729</v>
      </c>
      <c r="G311" s="41">
        <v>0</v>
      </c>
      <c r="H311" s="41">
        <v>0</v>
      </c>
      <c r="I311" s="41">
        <v>0</v>
      </c>
      <c r="J311" s="41">
        <v>0</v>
      </c>
      <c r="K311" s="41">
        <v>0</v>
      </c>
      <c r="L311" s="41">
        <v>0</v>
      </c>
      <c r="M311" s="40">
        <v>23654729</v>
      </c>
      <c r="N311" s="41">
        <v>0</v>
      </c>
      <c r="O311" s="41">
        <v>0</v>
      </c>
      <c r="P311" s="41">
        <v>0</v>
      </c>
      <c r="Q311" s="41">
        <v>0</v>
      </c>
      <c r="R311" s="41">
        <v>0</v>
      </c>
    </row>
    <row r="312" spans="2:18" ht="24.75" x14ac:dyDescent="0.2">
      <c r="B312" s="30" t="s">
        <v>287</v>
      </c>
      <c r="C312" s="47">
        <v>40181</v>
      </c>
      <c r="D312" s="36" t="s">
        <v>189</v>
      </c>
      <c r="E312" s="38">
        <v>3515627080</v>
      </c>
      <c r="F312" s="38">
        <v>3515627080</v>
      </c>
      <c r="G312" s="38">
        <v>15043664</v>
      </c>
      <c r="H312" s="38">
        <v>169918562</v>
      </c>
      <c r="I312" s="38">
        <v>301150231</v>
      </c>
      <c r="J312" s="38">
        <v>281673459</v>
      </c>
      <c r="K312" s="38">
        <v>281673459</v>
      </c>
      <c r="L312" s="38">
        <v>283161845</v>
      </c>
      <c r="M312" s="38">
        <v>1101778357</v>
      </c>
      <c r="N312" s="38">
        <v>353026400</v>
      </c>
      <c r="O312" s="38">
        <v>386228357</v>
      </c>
      <c r="P312" s="38">
        <v>140568562</v>
      </c>
      <c r="Q312" s="38">
        <v>137018561</v>
      </c>
      <c r="R312" s="38">
        <v>64385623</v>
      </c>
    </row>
    <row r="313" spans="2:18" x14ac:dyDescent="0.2">
      <c r="B313" s="30" t="s">
        <v>287</v>
      </c>
      <c r="C313" s="32" t="s">
        <v>190</v>
      </c>
      <c r="D313" s="32" t="s">
        <v>191</v>
      </c>
      <c r="E313" s="33">
        <v>3515627080</v>
      </c>
      <c r="F313" s="33">
        <v>3515627080</v>
      </c>
      <c r="G313" s="33">
        <v>15043664</v>
      </c>
      <c r="H313" s="33">
        <v>169918562</v>
      </c>
      <c r="I313" s="33">
        <v>301150231</v>
      </c>
      <c r="J313" s="33">
        <v>281673459</v>
      </c>
      <c r="K313" s="33">
        <v>281673459</v>
      </c>
      <c r="L313" s="33">
        <v>283161845</v>
      </c>
      <c r="M313" s="33">
        <v>1101778357</v>
      </c>
      <c r="N313" s="33">
        <v>353026400</v>
      </c>
      <c r="O313" s="33">
        <v>386228357</v>
      </c>
      <c r="P313" s="33">
        <v>140568562</v>
      </c>
      <c r="Q313" s="33">
        <v>137018561</v>
      </c>
      <c r="R313" s="33">
        <v>64385623</v>
      </c>
    </row>
    <row r="314" spans="2:18" x14ac:dyDescent="0.2">
      <c r="B314" s="30" t="s">
        <v>287</v>
      </c>
      <c r="C314" s="39" t="s">
        <v>260</v>
      </c>
      <c r="D314" s="39" t="s">
        <v>261</v>
      </c>
      <c r="E314" s="40">
        <v>2492097954</v>
      </c>
      <c r="F314" s="40">
        <v>2492097954</v>
      </c>
      <c r="G314" s="40">
        <v>2080000</v>
      </c>
      <c r="H314" s="40">
        <v>126954898</v>
      </c>
      <c r="I314" s="40">
        <v>246209795</v>
      </c>
      <c r="J314" s="40">
        <v>246209795</v>
      </c>
      <c r="K314" s="40">
        <v>246209795</v>
      </c>
      <c r="L314" s="40">
        <v>249209795</v>
      </c>
      <c r="M314" s="40">
        <v>373814693</v>
      </c>
      <c r="N314" s="40">
        <v>325062736</v>
      </c>
      <c r="O314" s="40">
        <v>373264693</v>
      </c>
      <c r="P314" s="40">
        <v>127604898</v>
      </c>
      <c r="Q314" s="40">
        <v>124054897</v>
      </c>
      <c r="R314" s="40">
        <v>51421959</v>
      </c>
    </row>
    <row r="315" spans="2:18" x14ac:dyDescent="0.2">
      <c r="B315" s="30" t="s">
        <v>287</v>
      </c>
      <c r="C315" s="39" t="s">
        <v>266</v>
      </c>
      <c r="D315" s="39" t="s">
        <v>267</v>
      </c>
      <c r="E315" s="40">
        <v>700000000</v>
      </c>
      <c r="F315" s="40">
        <v>700000000</v>
      </c>
      <c r="G315" s="41">
        <v>0</v>
      </c>
      <c r="H315" s="41">
        <v>0</v>
      </c>
      <c r="I315" s="41">
        <v>0</v>
      </c>
      <c r="J315" s="41">
        <v>0</v>
      </c>
      <c r="K315" s="41">
        <v>0</v>
      </c>
      <c r="L315" s="41">
        <v>0</v>
      </c>
      <c r="M315" s="40">
        <v>700000000</v>
      </c>
      <c r="N315" s="41">
        <v>0</v>
      </c>
      <c r="O315" s="41">
        <v>0</v>
      </c>
      <c r="P315" s="41">
        <v>0</v>
      </c>
      <c r="Q315" s="41">
        <v>0</v>
      </c>
      <c r="R315" s="41">
        <v>0</v>
      </c>
    </row>
    <row r="316" spans="2:18" x14ac:dyDescent="0.2">
      <c r="B316" s="30" t="s">
        <v>287</v>
      </c>
      <c r="C316" s="39" t="s">
        <v>268</v>
      </c>
      <c r="D316" s="39" t="s">
        <v>269</v>
      </c>
      <c r="E316" s="40">
        <v>150000000</v>
      </c>
      <c r="F316" s="40">
        <v>150000000</v>
      </c>
      <c r="G316" s="41">
        <v>0</v>
      </c>
      <c r="H316" s="40">
        <v>30000000</v>
      </c>
      <c r="I316" s="40">
        <v>30000000</v>
      </c>
      <c r="J316" s="40">
        <v>22500000</v>
      </c>
      <c r="K316" s="40">
        <v>22500000</v>
      </c>
      <c r="L316" s="40">
        <v>15000000</v>
      </c>
      <c r="M316" s="40">
        <v>15000000</v>
      </c>
      <c r="N316" s="40">
        <v>15000000</v>
      </c>
      <c r="O316" s="41">
        <v>0</v>
      </c>
      <c r="P316" s="41">
        <v>0</v>
      </c>
      <c r="Q316" s="41">
        <v>0</v>
      </c>
      <c r="R316" s="41">
        <v>0</v>
      </c>
    </row>
    <row r="317" spans="2:18" ht="24.75" x14ac:dyDescent="0.2">
      <c r="B317" s="30" t="s">
        <v>287</v>
      </c>
      <c r="C317" s="39" t="s">
        <v>214</v>
      </c>
      <c r="D317" s="36" t="s">
        <v>270</v>
      </c>
      <c r="E317" s="40">
        <v>173529126</v>
      </c>
      <c r="F317" s="40">
        <v>173529126</v>
      </c>
      <c r="G317" s="40">
        <v>12963664</v>
      </c>
      <c r="H317" s="40">
        <v>12963664</v>
      </c>
      <c r="I317" s="40">
        <v>24940436</v>
      </c>
      <c r="J317" s="40">
        <v>12963664</v>
      </c>
      <c r="K317" s="40">
        <v>12963664</v>
      </c>
      <c r="L317" s="40">
        <v>18952050</v>
      </c>
      <c r="M317" s="40">
        <v>12963664</v>
      </c>
      <c r="N317" s="40">
        <v>12963664</v>
      </c>
      <c r="O317" s="40">
        <v>12963664</v>
      </c>
      <c r="P317" s="40">
        <v>12963664</v>
      </c>
      <c r="Q317" s="40">
        <v>12963664</v>
      </c>
      <c r="R317" s="40">
        <v>12963664</v>
      </c>
    </row>
  </sheetData>
  <mergeCells count="162">
    <mergeCell ref="C77:C79"/>
    <mergeCell ref="D77:D79"/>
    <mergeCell ref="E77:E79"/>
    <mergeCell ref="F77:F79"/>
    <mergeCell ref="G77:L77"/>
    <mergeCell ref="M77:R77"/>
    <mergeCell ref="G78:I78"/>
    <mergeCell ref="J78:L78"/>
    <mergeCell ref="M78:O78"/>
    <mergeCell ref="P78:R78"/>
    <mergeCell ref="C100:C102"/>
    <mergeCell ref="D100:D102"/>
    <mergeCell ref="E100:E102"/>
    <mergeCell ref="F100:F102"/>
    <mergeCell ref="G100:L100"/>
    <mergeCell ref="M100:R100"/>
    <mergeCell ref="G101:I101"/>
    <mergeCell ref="J101:L101"/>
    <mergeCell ref="M101:O101"/>
    <mergeCell ref="P101:R101"/>
    <mergeCell ref="C122:C124"/>
    <mergeCell ref="D122:D124"/>
    <mergeCell ref="E122:E124"/>
    <mergeCell ref="F122:F124"/>
    <mergeCell ref="G122:L122"/>
    <mergeCell ref="G123:I123"/>
    <mergeCell ref="M164:R164"/>
    <mergeCell ref="M165:O165"/>
    <mergeCell ref="P165:R165"/>
    <mergeCell ref="M140:R140"/>
    <mergeCell ref="M141:O141"/>
    <mergeCell ref="P141:R141"/>
    <mergeCell ref="M122:R122"/>
    <mergeCell ref="J123:L123"/>
    <mergeCell ref="M123:O123"/>
    <mergeCell ref="P123:R123"/>
    <mergeCell ref="G165:I165"/>
    <mergeCell ref="J165:L165"/>
    <mergeCell ref="C140:C142"/>
    <mergeCell ref="D140:D142"/>
    <mergeCell ref="E140:E142"/>
    <mergeCell ref="F140:F142"/>
    <mergeCell ref="G140:L140"/>
    <mergeCell ref="G141:I141"/>
    <mergeCell ref="J141:L141"/>
    <mergeCell ref="C234:C236"/>
    <mergeCell ref="D234:D236"/>
    <mergeCell ref="E234:E236"/>
    <mergeCell ref="C210:C212"/>
    <mergeCell ref="D210:D212"/>
    <mergeCell ref="E210:E212"/>
    <mergeCell ref="M211:O211"/>
    <mergeCell ref="P211:R211"/>
    <mergeCell ref="C186:C188"/>
    <mergeCell ref="D186:D188"/>
    <mergeCell ref="E186:E188"/>
    <mergeCell ref="F186:F188"/>
    <mergeCell ref="G186:L186"/>
    <mergeCell ref="M186:R186"/>
    <mergeCell ref="G187:I187"/>
    <mergeCell ref="J187:L187"/>
    <mergeCell ref="M187:O187"/>
    <mergeCell ref="P187:R187"/>
    <mergeCell ref="M210:R210"/>
    <mergeCell ref="G211:I211"/>
    <mergeCell ref="J211:L211"/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C164:C166"/>
    <mergeCell ref="D164:D166"/>
    <mergeCell ref="E164:E166"/>
    <mergeCell ref="F164:F166"/>
    <mergeCell ref="G164:L164"/>
    <mergeCell ref="C257:C259"/>
    <mergeCell ref="D257:D259"/>
    <mergeCell ref="E257:E259"/>
    <mergeCell ref="M3:R3"/>
    <mergeCell ref="G4:I4"/>
    <mergeCell ref="J4:L4"/>
    <mergeCell ref="M4:O4"/>
    <mergeCell ref="P4:R4"/>
    <mergeCell ref="F257:F259"/>
    <mergeCell ref="G257:L257"/>
    <mergeCell ref="M257:R257"/>
    <mergeCell ref="G258:I258"/>
    <mergeCell ref="J258:L258"/>
    <mergeCell ref="M258:O258"/>
    <mergeCell ref="P258:R258"/>
    <mergeCell ref="F234:F236"/>
    <mergeCell ref="G234:L234"/>
    <mergeCell ref="M234:R234"/>
    <mergeCell ref="G235:I235"/>
    <mergeCell ref="J235:L235"/>
    <mergeCell ref="M235:O235"/>
    <mergeCell ref="P235:R235"/>
    <mergeCell ref="F210:F212"/>
    <mergeCell ref="G210:L210"/>
    <mergeCell ref="C282:C284"/>
    <mergeCell ref="D282:D284"/>
    <mergeCell ref="E282:E284"/>
    <mergeCell ref="F282:F284"/>
    <mergeCell ref="G282:L282"/>
    <mergeCell ref="M282:R282"/>
    <mergeCell ref="G283:I283"/>
    <mergeCell ref="J283:L283"/>
    <mergeCell ref="M283:O283"/>
    <mergeCell ref="P283:R283"/>
    <mergeCell ref="C306:C308"/>
    <mergeCell ref="D306:D308"/>
    <mergeCell ref="E306:E308"/>
    <mergeCell ref="F306:F308"/>
    <mergeCell ref="G306:L306"/>
    <mergeCell ref="M306:R306"/>
    <mergeCell ref="G307:I307"/>
    <mergeCell ref="J307:L307"/>
    <mergeCell ref="M307:O307"/>
    <mergeCell ref="P307:R307"/>
    <mergeCell ref="M60:O60"/>
    <mergeCell ref="P60:R60"/>
    <mergeCell ref="C41:C43"/>
    <mergeCell ref="D41:D43"/>
    <mergeCell ref="E41:E43"/>
    <mergeCell ref="F41:F43"/>
    <mergeCell ref="G41:L41"/>
    <mergeCell ref="M41:R41"/>
    <mergeCell ref="G42:I42"/>
    <mergeCell ref="J42:L42"/>
    <mergeCell ref="M42:O42"/>
    <mergeCell ref="P42:R42"/>
    <mergeCell ref="C59:C61"/>
    <mergeCell ref="D59:D61"/>
    <mergeCell ref="E59:E61"/>
    <mergeCell ref="F59:F61"/>
    <mergeCell ref="G59:L59"/>
    <mergeCell ref="M59:R59"/>
    <mergeCell ref="G60:I60"/>
    <mergeCell ref="J60:L60"/>
    <mergeCell ref="C6:R6"/>
    <mergeCell ref="C17:C19"/>
    <mergeCell ref="D17:D19"/>
    <mergeCell ref="E17:E19"/>
    <mergeCell ref="F17:F19"/>
    <mergeCell ref="G17:L17"/>
    <mergeCell ref="M17:R17"/>
    <mergeCell ref="G18:I18"/>
    <mergeCell ref="J18:L18"/>
    <mergeCell ref="M18:O18"/>
    <mergeCell ref="P18:R1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zoomScale="115" zoomScaleNormal="115" workbookViewId="0">
      <selection activeCell="I21" sqref="I21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91" t="s">
        <v>1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2"/>
      <c r="S1" s="7"/>
    </row>
    <row r="2" spans="1:30" ht="12.6" customHeight="1" x14ac:dyDescent="0.2">
      <c r="B2" s="23"/>
      <c r="C2" s="23"/>
      <c r="D2" s="23"/>
      <c r="E2" s="23"/>
      <c r="F2" s="23"/>
      <c r="G2" s="93" t="s">
        <v>27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4"/>
      <c r="S2" s="93" t="s">
        <v>28</v>
      </c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</row>
    <row r="3" spans="1:30" s="2" customFormat="1" ht="13.35" customHeight="1" x14ac:dyDescent="0.2">
      <c r="A3" s="20" t="s">
        <v>26</v>
      </c>
      <c r="B3" s="20" t="s">
        <v>2</v>
      </c>
      <c r="C3" s="15"/>
      <c r="D3" s="17"/>
      <c r="E3" s="17"/>
      <c r="F3" s="17"/>
      <c r="G3" s="9" t="s">
        <v>9</v>
      </c>
      <c r="H3" s="10"/>
      <c r="I3" s="11"/>
      <c r="J3" s="9" t="s">
        <v>10</v>
      </c>
      <c r="K3" s="10"/>
      <c r="L3" s="11"/>
      <c r="M3" s="9" t="s">
        <v>11</v>
      </c>
      <c r="N3" s="10"/>
      <c r="O3" s="11"/>
      <c r="P3" s="9" t="s">
        <v>12</v>
      </c>
      <c r="Q3" s="10"/>
      <c r="R3" s="11"/>
      <c r="S3" s="9" t="s">
        <v>9</v>
      </c>
      <c r="T3" s="10"/>
      <c r="U3" s="11"/>
      <c r="V3" s="9" t="s">
        <v>10</v>
      </c>
      <c r="W3" s="10"/>
      <c r="X3" s="11"/>
      <c r="Y3" s="9" t="s">
        <v>11</v>
      </c>
      <c r="Z3" s="10"/>
      <c r="AA3" s="11"/>
      <c r="AB3" s="9" t="s">
        <v>12</v>
      </c>
      <c r="AC3" s="10"/>
      <c r="AD3" s="11"/>
    </row>
    <row r="4" spans="1:30" s="2" customFormat="1" ht="12.6" customHeight="1" x14ac:dyDescent="0.2">
      <c r="A4" s="20"/>
      <c r="B4" s="20"/>
      <c r="C4" s="16"/>
      <c r="D4" s="18"/>
      <c r="E4" s="18"/>
      <c r="F4" s="18"/>
      <c r="G4" s="3" t="s">
        <v>13</v>
      </c>
      <c r="H4" s="4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3" t="s">
        <v>13</v>
      </c>
      <c r="T4" s="4" t="s">
        <v>14</v>
      </c>
      <c r="U4" s="3" t="s">
        <v>15</v>
      </c>
      <c r="V4" s="3" t="s">
        <v>16</v>
      </c>
      <c r="W4" s="3" t="s">
        <v>17</v>
      </c>
      <c r="X4" s="3" t="s">
        <v>18</v>
      </c>
      <c r="Y4" s="3" t="s">
        <v>19</v>
      </c>
      <c r="Z4" s="4" t="s">
        <v>20</v>
      </c>
      <c r="AA4" s="4" t="s">
        <v>21</v>
      </c>
      <c r="AB4" s="4" t="s">
        <v>22</v>
      </c>
      <c r="AC4" s="4" t="s">
        <v>23</v>
      </c>
      <c r="AD4" s="4" t="s">
        <v>24</v>
      </c>
    </row>
    <row r="5" spans="1:30" s="2" customFormat="1" ht="22.5" customHeight="1" x14ac:dyDescent="0.2">
      <c r="A5" s="20"/>
      <c r="B5" s="20"/>
      <c r="C5" s="21" t="s">
        <v>25</v>
      </c>
      <c r="D5" s="22"/>
      <c r="E5" s="5">
        <v>178160044215</v>
      </c>
      <c r="F5" s="6">
        <v>178160044215</v>
      </c>
      <c r="G5" s="12">
        <v>40264011333</v>
      </c>
      <c r="H5" s="13"/>
      <c r="I5" s="14"/>
      <c r="J5" s="12">
        <v>43623033473</v>
      </c>
      <c r="K5" s="13"/>
      <c r="L5" s="14"/>
      <c r="M5" s="12">
        <v>34541452721</v>
      </c>
      <c r="N5" s="13"/>
      <c r="O5" s="14"/>
      <c r="P5" s="12">
        <v>59731546688</v>
      </c>
      <c r="Q5" s="13"/>
      <c r="R5" s="14"/>
      <c r="S5" s="25" t="s">
        <v>30</v>
      </c>
      <c r="T5" s="25" t="s">
        <v>29</v>
      </c>
      <c r="U5" s="25" t="s">
        <v>31</v>
      </c>
      <c r="V5" s="25" t="s">
        <v>16</v>
      </c>
      <c r="W5" s="25" t="s">
        <v>32</v>
      </c>
      <c r="X5" s="25" t="s">
        <v>33</v>
      </c>
      <c r="Y5" s="25" t="s">
        <v>34</v>
      </c>
      <c r="Z5" s="25" t="s">
        <v>35</v>
      </c>
      <c r="AA5" s="25" t="s">
        <v>21</v>
      </c>
      <c r="AB5" s="25" t="s">
        <v>36</v>
      </c>
      <c r="AC5" s="25" t="s">
        <v>23</v>
      </c>
      <c r="AD5" s="25" t="s">
        <v>37</v>
      </c>
    </row>
    <row r="6" spans="1:30" x14ac:dyDescent="0.2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4" t="e">
        <f>G6/$E$6*100</f>
        <v>#DIV/0!</v>
      </c>
      <c r="T6" s="24" t="e">
        <f t="shared" ref="T6:AD6" si="0">H6/$E$6*100</f>
        <v>#DIV/0!</v>
      </c>
      <c r="U6" s="24" t="e">
        <f t="shared" si="0"/>
        <v>#DIV/0!</v>
      </c>
      <c r="V6" s="24" t="e">
        <f t="shared" si="0"/>
        <v>#DIV/0!</v>
      </c>
      <c r="W6" s="24" t="e">
        <f t="shared" si="0"/>
        <v>#DIV/0!</v>
      </c>
      <c r="X6" s="24" t="e">
        <f t="shared" si="0"/>
        <v>#DIV/0!</v>
      </c>
      <c r="Y6" s="24" t="e">
        <f t="shared" si="0"/>
        <v>#DIV/0!</v>
      </c>
      <c r="Z6" s="24" t="e">
        <f t="shared" si="0"/>
        <v>#DIV/0!</v>
      </c>
      <c r="AA6" s="24" t="e">
        <f t="shared" si="0"/>
        <v>#DIV/0!</v>
      </c>
      <c r="AB6" s="24" t="e">
        <f t="shared" si="0"/>
        <v>#DIV/0!</v>
      </c>
      <c r="AC6" s="24" t="e">
        <f t="shared" si="0"/>
        <v>#DIV/0!</v>
      </c>
      <c r="AD6" s="24" t="e">
        <f t="shared" si="0"/>
        <v>#DIV/0!</v>
      </c>
    </row>
  </sheetData>
  <mergeCells count="3">
    <mergeCell ref="B1:R1"/>
    <mergeCell ref="G2:R2"/>
    <mergeCell ref="S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2026-01-23T04:18:35Z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