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- Hamid Septian\Downloads\"/>
    </mc:Choice>
  </mc:AlternateContent>
  <bookViews>
    <workbookView xWindow="120" yWindow="15" windowWidth="18960" windowHeight="11325"/>
  </bookViews>
  <sheets>
    <sheet name="Table 1" sheetId="1" r:id="rId1"/>
    <sheet name="Table 2" sheetId="2" r:id="rId2"/>
  </sheets>
  <calcPr calcId="152511"/>
</workbook>
</file>

<file path=xl/calcChain.xml><?xml version="1.0" encoding="utf-8"?>
<calcChain xmlns="http://schemas.openxmlformats.org/spreadsheetml/2006/main">
  <c r="S9" i="2" l="1"/>
  <c r="T9" i="2"/>
  <c r="U9" i="2"/>
  <c r="V9" i="2"/>
  <c r="W9" i="2"/>
  <c r="X9" i="2"/>
  <c r="Y9" i="2"/>
  <c r="Z9" i="2"/>
  <c r="AA9" i="2"/>
  <c r="AB9" i="2"/>
  <c r="AC9" i="2"/>
  <c r="AD9" i="2"/>
  <c r="S10" i="2"/>
  <c r="T10" i="2"/>
  <c r="U10" i="2"/>
  <c r="V10" i="2"/>
  <c r="W10" i="2"/>
  <c r="X10" i="2"/>
  <c r="Y10" i="2"/>
  <c r="Z10" i="2"/>
  <c r="AA10" i="2"/>
  <c r="AB10" i="2"/>
  <c r="AC10" i="2"/>
  <c r="AD10" i="2"/>
  <c r="S11" i="2"/>
  <c r="T11" i="2"/>
  <c r="U11" i="2"/>
  <c r="V11" i="2"/>
  <c r="W11" i="2"/>
  <c r="X11" i="2"/>
  <c r="Y11" i="2"/>
  <c r="Z11" i="2"/>
  <c r="AA11" i="2"/>
  <c r="AB11" i="2"/>
  <c r="AC11" i="2"/>
  <c r="AD11" i="2"/>
  <c r="S12" i="2"/>
  <c r="T12" i="2"/>
  <c r="U12" i="2"/>
  <c r="V12" i="2"/>
  <c r="W12" i="2"/>
  <c r="X12" i="2"/>
  <c r="Y12" i="2"/>
  <c r="Z12" i="2"/>
  <c r="AA12" i="2"/>
  <c r="AB12" i="2"/>
  <c r="AC12" i="2"/>
  <c r="AD12" i="2"/>
  <c r="S13" i="2"/>
  <c r="T13" i="2"/>
  <c r="U13" i="2"/>
  <c r="V13" i="2"/>
  <c r="W13" i="2"/>
  <c r="X13" i="2"/>
  <c r="Y13" i="2"/>
  <c r="Z13" i="2"/>
  <c r="AA13" i="2"/>
  <c r="AB13" i="2"/>
  <c r="AC13" i="2"/>
  <c r="AD13" i="2"/>
  <c r="S14" i="2"/>
  <c r="T14" i="2"/>
  <c r="U14" i="2"/>
  <c r="V14" i="2"/>
  <c r="W14" i="2"/>
  <c r="X14" i="2"/>
  <c r="Y14" i="2"/>
  <c r="Z14" i="2"/>
  <c r="AA14" i="2"/>
  <c r="AB14" i="2"/>
  <c r="AC14" i="2"/>
  <c r="AD14" i="2"/>
  <c r="S15" i="2"/>
  <c r="T15" i="2"/>
  <c r="U15" i="2"/>
  <c r="V15" i="2"/>
  <c r="W15" i="2"/>
  <c r="X15" i="2"/>
  <c r="Y15" i="2"/>
  <c r="Z15" i="2"/>
  <c r="AA15" i="2"/>
  <c r="AB15" i="2"/>
  <c r="AC15" i="2"/>
  <c r="AD15" i="2"/>
  <c r="S16" i="2"/>
  <c r="T16" i="2"/>
  <c r="U16" i="2"/>
  <c r="V16" i="2"/>
  <c r="W16" i="2"/>
  <c r="X16" i="2"/>
  <c r="Y16" i="2"/>
  <c r="Z16" i="2"/>
  <c r="AA16" i="2"/>
  <c r="AB16" i="2"/>
  <c r="AC16" i="2"/>
  <c r="AD16" i="2"/>
  <c r="S17" i="2"/>
  <c r="T17" i="2"/>
  <c r="U17" i="2"/>
  <c r="V17" i="2"/>
  <c r="W17" i="2"/>
  <c r="X17" i="2"/>
  <c r="Y17" i="2"/>
  <c r="Z17" i="2"/>
  <c r="AA17" i="2"/>
  <c r="AB17" i="2"/>
  <c r="AC17" i="2"/>
  <c r="AD17" i="2"/>
  <c r="S18" i="2"/>
  <c r="T18" i="2"/>
  <c r="U18" i="2"/>
  <c r="V18" i="2"/>
  <c r="W18" i="2"/>
  <c r="X18" i="2"/>
  <c r="Y18" i="2"/>
  <c r="Z18" i="2"/>
  <c r="AA18" i="2"/>
  <c r="AB18" i="2"/>
  <c r="AC18" i="2"/>
  <c r="AD18" i="2"/>
  <c r="S19" i="2"/>
  <c r="T19" i="2"/>
  <c r="U19" i="2"/>
  <c r="V19" i="2"/>
  <c r="W19" i="2"/>
  <c r="X19" i="2"/>
  <c r="Y19" i="2"/>
  <c r="Z19" i="2"/>
  <c r="AA19" i="2"/>
  <c r="AB19" i="2"/>
  <c r="AC19" i="2"/>
  <c r="AD19" i="2"/>
  <c r="S20" i="2"/>
  <c r="T20" i="2"/>
  <c r="U20" i="2"/>
  <c r="V20" i="2"/>
  <c r="W20" i="2"/>
  <c r="X20" i="2"/>
  <c r="Y20" i="2"/>
  <c r="Z20" i="2"/>
  <c r="AA20" i="2"/>
  <c r="AB20" i="2"/>
  <c r="AC20" i="2"/>
  <c r="AD20" i="2"/>
  <c r="S21" i="2"/>
  <c r="T21" i="2"/>
  <c r="U21" i="2"/>
  <c r="V21" i="2"/>
  <c r="W21" i="2"/>
  <c r="X21" i="2"/>
  <c r="Y21" i="2"/>
  <c r="Z21" i="2"/>
  <c r="AA21" i="2"/>
  <c r="AB21" i="2"/>
  <c r="AC21" i="2"/>
  <c r="AD21" i="2"/>
  <c r="S22" i="2"/>
  <c r="T22" i="2"/>
  <c r="U22" i="2"/>
  <c r="V22" i="2"/>
  <c r="W22" i="2"/>
  <c r="X22" i="2"/>
  <c r="Y22" i="2"/>
  <c r="Z22" i="2"/>
  <c r="AA22" i="2"/>
  <c r="AB22" i="2"/>
  <c r="AC22" i="2"/>
  <c r="AD22" i="2"/>
  <c r="S23" i="2"/>
  <c r="T23" i="2"/>
  <c r="U23" i="2"/>
  <c r="V23" i="2"/>
  <c r="W23" i="2"/>
  <c r="X23" i="2"/>
  <c r="Y23" i="2"/>
  <c r="Z23" i="2"/>
  <c r="AA23" i="2"/>
  <c r="AB23" i="2"/>
  <c r="AC23" i="2"/>
  <c r="AD23" i="2"/>
  <c r="S24" i="2"/>
  <c r="T24" i="2"/>
  <c r="U24" i="2"/>
  <c r="V24" i="2"/>
  <c r="W24" i="2"/>
  <c r="X24" i="2"/>
  <c r="Y24" i="2"/>
  <c r="Z24" i="2"/>
  <c r="AA24" i="2"/>
  <c r="AB24" i="2"/>
  <c r="AC24" i="2"/>
  <c r="AD24" i="2"/>
  <c r="S25" i="2"/>
  <c r="T25" i="2"/>
  <c r="U25" i="2"/>
  <c r="V25" i="2"/>
  <c r="W25" i="2"/>
  <c r="X25" i="2"/>
  <c r="Y25" i="2"/>
  <c r="Z25" i="2"/>
  <c r="AA25" i="2"/>
  <c r="AB25" i="2"/>
  <c r="AC25" i="2"/>
  <c r="AD25" i="2"/>
  <c r="S26" i="2"/>
  <c r="T26" i="2"/>
  <c r="U26" i="2"/>
  <c r="V26" i="2"/>
  <c r="W26" i="2"/>
  <c r="X26" i="2"/>
  <c r="Y26" i="2"/>
  <c r="Z26" i="2"/>
  <c r="AA26" i="2"/>
  <c r="AB26" i="2"/>
  <c r="AC26" i="2"/>
  <c r="AD26" i="2"/>
  <c r="S27" i="2"/>
  <c r="T27" i="2"/>
  <c r="U27" i="2"/>
  <c r="V27" i="2"/>
  <c r="W27" i="2"/>
  <c r="X27" i="2"/>
  <c r="Y27" i="2"/>
  <c r="Z27" i="2"/>
  <c r="AA27" i="2"/>
  <c r="AB27" i="2"/>
  <c r="AC27" i="2"/>
  <c r="AD27" i="2"/>
  <c r="S28" i="2"/>
  <c r="T28" i="2"/>
  <c r="U28" i="2"/>
  <c r="V28" i="2"/>
  <c r="W28" i="2"/>
  <c r="X28" i="2"/>
  <c r="Y28" i="2"/>
  <c r="Z28" i="2"/>
  <c r="AA28" i="2"/>
  <c r="AB28" i="2"/>
  <c r="AC28" i="2"/>
  <c r="AD28" i="2"/>
  <c r="S29" i="2"/>
  <c r="T29" i="2"/>
  <c r="U29" i="2"/>
  <c r="V29" i="2"/>
  <c r="W29" i="2"/>
  <c r="X29" i="2"/>
  <c r="Y29" i="2"/>
  <c r="Z29" i="2"/>
  <c r="AA29" i="2"/>
  <c r="AB29" i="2"/>
  <c r="AC29" i="2"/>
  <c r="AD29" i="2"/>
  <c r="S30" i="2"/>
  <c r="T30" i="2"/>
  <c r="U30" i="2"/>
  <c r="V30" i="2"/>
  <c r="W30" i="2"/>
  <c r="X30" i="2"/>
  <c r="Y30" i="2"/>
  <c r="Z30" i="2"/>
  <c r="AA30" i="2"/>
  <c r="AB30" i="2"/>
  <c r="AC30" i="2"/>
  <c r="AD30" i="2"/>
  <c r="S31" i="2"/>
  <c r="T31" i="2"/>
  <c r="U31" i="2"/>
  <c r="V31" i="2"/>
  <c r="W31" i="2"/>
  <c r="X31" i="2"/>
  <c r="Y31" i="2"/>
  <c r="Z31" i="2"/>
  <c r="AA31" i="2"/>
  <c r="AB31" i="2"/>
  <c r="AC31" i="2"/>
  <c r="AD31" i="2"/>
  <c r="S32" i="2"/>
  <c r="T32" i="2"/>
  <c r="U32" i="2"/>
  <c r="V32" i="2"/>
  <c r="W32" i="2"/>
  <c r="X32" i="2"/>
  <c r="Y32" i="2"/>
  <c r="Z32" i="2"/>
  <c r="AA32" i="2"/>
  <c r="AB32" i="2"/>
  <c r="AC32" i="2"/>
  <c r="AD32" i="2"/>
  <c r="S33" i="2"/>
  <c r="T33" i="2"/>
  <c r="U33" i="2"/>
  <c r="V33" i="2"/>
  <c r="W33" i="2"/>
  <c r="X33" i="2"/>
  <c r="Y33" i="2"/>
  <c r="Z33" i="2"/>
  <c r="AA33" i="2"/>
  <c r="AB33" i="2"/>
  <c r="AC33" i="2"/>
  <c r="AD33" i="2"/>
  <c r="S34" i="2"/>
  <c r="T34" i="2"/>
  <c r="U34" i="2"/>
  <c r="V34" i="2"/>
  <c r="W34" i="2"/>
  <c r="X34" i="2"/>
  <c r="Y34" i="2"/>
  <c r="Z34" i="2"/>
  <c r="AA34" i="2"/>
  <c r="AB34" i="2"/>
  <c r="AC34" i="2"/>
  <c r="AD34" i="2"/>
  <c r="S35" i="2"/>
  <c r="T35" i="2"/>
  <c r="U35" i="2"/>
  <c r="V35" i="2"/>
  <c r="W35" i="2"/>
  <c r="X35" i="2"/>
  <c r="Y35" i="2"/>
  <c r="Z35" i="2"/>
  <c r="AA35" i="2"/>
  <c r="AB35" i="2"/>
  <c r="AC35" i="2"/>
  <c r="AD35" i="2"/>
  <c r="S36" i="2"/>
  <c r="T36" i="2"/>
  <c r="U36" i="2"/>
  <c r="V36" i="2"/>
  <c r="W36" i="2"/>
  <c r="X36" i="2"/>
  <c r="Y36" i="2"/>
  <c r="Z36" i="2"/>
  <c r="AA36" i="2"/>
  <c r="AB36" i="2"/>
  <c r="AC36" i="2"/>
  <c r="AD36" i="2"/>
  <c r="S37" i="2"/>
  <c r="T37" i="2"/>
  <c r="U37" i="2"/>
  <c r="V37" i="2"/>
  <c r="W37" i="2"/>
  <c r="X37" i="2"/>
  <c r="Y37" i="2"/>
  <c r="Z37" i="2"/>
  <c r="AA37" i="2"/>
  <c r="AB37" i="2"/>
  <c r="AC37" i="2"/>
  <c r="AD37" i="2"/>
  <c r="S38" i="2"/>
  <c r="T38" i="2"/>
  <c r="U38" i="2"/>
  <c r="V38" i="2"/>
  <c r="W38" i="2"/>
  <c r="X38" i="2"/>
  <c r="Y38" i="2"/>
  <c r="Z38" i="2"/>
  <c r="AA38" i="2"/>
  <c r="AB38" i="2"/>
  <c r="AC38" i="2"/>
  <c r="AD38" i="2"/>
  <c r="S39" i="2"/>
  <c r="T39" i="2"/>
  <c r="U39" i="2"/>
  <c r="V39" i="2"/>
  <c r="W39" i="2"/>
  <c r="X39" i="2"/>
  <c r="Y39" i="2"/>
  <c r="Z39" i="2"/>
  <c r="AA39" i="2"/>
  <c r="AB39" i="2"/>
  <c r="AC39" i="2"/>
  <c r="AD39" i="2"/>
  <c r="S40" i="2"/>
  <c r="T40" i="2"/>
  <c r="U40" i="2"/>
  <c r="V40" i="2"/>
  <c r="W40" i="2"/>
  <c r="X40" i="2"/>
  <c r="Y40" i="2"/>
  <c r="Z40" i="2"/>
  <c r="AA40" i="2"/>
  <c r="AB40" i="2"/>
  <c r="AC40" i="2"/>
  <c r="AD40" i="2"/>
  <c r="S9" i="1"/>
  <c r="T9" i="1"/>
  <c r="U9" i="1"/>
  <c r="V9" i="1"/>
  <c r="W9" i="1"/>
  <c r="X9" i="1"/>
  <c r="Y9" i="1"/>
  <c r="Z9" i="1"/>
  <c r="AA9" i="1"/>
  <c r="AB9" i="1"/>
  <c r="AC9" i="1"/>
  <c r="AD9" i="1"/>
  <c r="S10" i="1"/>
  <c r="T10" i="1"/>
  <c r="U10" i="1"/>
  <c r="V10" i="1"/>
  <c r="W10" i="1"/>
  <c r="X10" i="1"/>
  <c r="Y10" i="1"/>
  <c r="Z10" i="1"/>
  <c r="AA10" i="1"/>
  <c r="AB10" i="1"/>
  <c r="AC10" i="1"/>
  <c r="AD10" i="1"/>
  <c r="S11" i="1"/>
  <c r="T11" i="1"/>
  <c r="U11" i="1"/>
  <c r="V11" i="1"/>
  <c r="W11" i="1"/>
  <c r="X11" i="1"/>
  <c r="Y11" i="1"/>
  <c r="Z11" i="1"/>
  <c r="AA11" i="1"/>
  <c r="AB11" i="1"/>
  <c r="AC11" i="1"/>
  <c r="AD11" i="1"/>
  <c r="S12" i="1"/>
  <c r="T12" i="1"/>
  <c r="U12" i="1"/>
  <c r="V12" i="1"/>
  <c r="W12" i="1"/>
  <c r="X12" i="1"/>
  <c r="Y12" i="1"/>
  <c r="Z12" i="1"/>
  <c r="AA12" i="1"/>
  <c r="AB12" i="1"/>
  <c r="AC12" i="1"/>
  <c r="AD12" i="1"/>
  <c r="S13" i="1"/>
  <c r="T13" i="1"/>
  <c r="U13" i="1"/>
  <c r="V13" i="1"/>
  <c r="W13" i="1"/>
  <c r="X13" i="1"/>
  <c r="Y13" i="1"/>
  <c r="Z13" i="1"/>
  <c r="AA13" i="1"/>
  <c r="AB13" i="1"/>
  <c r="AC13" i="1"/>
  <c r="AD13" i="1"/>
  <c r="S14" i="1"/>
  <c r="T14" i="1"/>
  <c r="U14" i="1"/>
  <c r="V14" i="1"/>
  <c r="W14" i="1"/>
  <c r="X14" i="1"/>
  <c r="Y14" i="1"/>
  <c r="Z14" i="1"/>
  <c r="AA14" i="1"/>
  <c r="AB14" i="1"/>
  <c r="AC14" i="1"/>
  <c r="AD14" i="1"/>
  <c r="S15" i="1"/>
  <c r="T15" i="1"/>
  <c r="U15" i="1"/>
  <c r="V15" i="1"/>
  <c r="W15" i="1"/>
  <c r="X15" i="1"/>
  <c r="Y15" i="1"/>
  <c r="Z15" i="1"/>
  <c r="AA15" i="1"/>
  <c r="AB15" i="1"/>
  <c r="AC15" i="1"/>
  <c r="AD15" i="1"/>
  <c r="S16" i="1"/>
  <c r="T16" i="1"/>
  <c r="U16" i="1"/>
  <c r="V16" i="1"/>
  <c r="W16" i="1"/>
  <c r="X16" i="1"/>
  <c r="Y16" i="1"/>
  <c r="Z16" i="1"/>
  <c r="AA16" i="1"/>
  <c r="AB16" i="1"/>
  <c r="AC16" i="1"/>
  <c r="AD16" i="1"/>
  <c r="S17" i="1"/>
  <c r="T17" i="1"/>
  <c r="U17" i="1"/>
  <c r="V17" i="1"/>
  <c r="W17" i="1"/>
  <c r="X17" i="1"/>
  <c r="Y17" i="1"/>
  <c r="Z17" i="1"/>
  <c r="AA17" i="1"/>
  <c r="AB17" i="1"/>
  <c r="AC17" i="1"/>
  <c r="AD17" i="1"/>
  <c r="S18" i="1"/>
  <c r="T18" i="1"/>
  <c r="U18" i="1"/>
  <c r="V18" i="1"/>
  <c r="W18" i="1"/>
  <c r="X18" i="1"/>
  <c r="Y18" i="1"/>
  <c r="Z18" i="1"/>
  <c r="AA18" i="1"/>
  <c r="AB18" i="1"/>
  <c r="AC18" i="1"/>
  <c r="AD18" i="1"/>
  <c r="S19" i="1"/>
  <c r="T19" i="1"/>
  <c r="U19" i="1"/>
  <c r="V19" i="1"/>
  <c r="W19" i="1"/>
  <c r="X19" i="1"/>
  <c r="Y19" i="1"/>
  <c r="Z19" i="1"/>
  <c r="AA19" i="1"/>
  <c r="AB19" i="1"/>
  <c r="AC19" i="1"/>
  <c r="AD19" i="1"/>
  <c r="S20" i="1"/>
  <c r="T20" i="1"/>
  <c r="U20" i="1"/>
  <c r="V20" i="1"/>
  <c r="W20" i="1"/>
  <c r="X20" i="1"/>
  <c r="Y20" i="1"/>
  <c r="Z20" i="1"/>
  <c r="AA20" i="1"/>
  <c r="AB20" i="1"/>
  <c r="AC20" i="1"/>
  <c r="AD20" i="1"/>
  <c r="S21" i="1"/>
  <c r="T21" i="1"/>
  <c r="U21" i="1"/>
  <c r="V21" i="1"/>
  <c r="W21" i="1"/>
  <c r="X21" i="1"/>
  <c r="Y21" i="1"/>
  <c r="Z21" i="1"/>
  <c r="AA21" i="1"/>
  <c r="AB21" i="1"/>
  <c r="AC21" i="1"/>
  <c r="AD21" i="1"/>
  <c r="S22" i="1"/>
  <c r="T22" i="1"/>
  <c r="U22" i="1"/>
  <c r="V22" i="1"/>
  <c r="W22" i="1"/>
  <c r="X22" i="1"/>
  <c r="Y22" i="1"/>
  <c r="Z22" i="1"/>
  <c r="AA22" i="1"/>
  <c r="AB22" i="1"/>
  <c r="AC22" i="1"/>
  <c r="AD22" i="1"/>
  <c r="S23" i="1"/>
  <c r="T23" i="1"/>
  <c r="U23" i="1"/>
  <c r="V23" i="1"/>
  <c r="W23" i="1"/>
  <c r="X23" i="1"/>
  <c r="Y23" i="1"/>
  <c r="Z23" i="1"/>
  <c r="AA23" i="1"/>
  <c r="AB23" i="1"/>
  <c r="AC23" i="1"/>
  <c r="AD23" i="1"/>
  <c r="S24" i="1"/>
  <c r="T24" i="1"/>
  <c r="U24" i="1"/>
  <c r="V24" i="1"/>
  <c r="W24" i="1"/>
  <c r="X24" i="1"/>
  <c r="Y24" i="1"/>
  <c r="Z24" i="1"/>
  <c r="AA24" i="1"/>
  <c r="AB24" i="1"/>
  <c r="AC24" i="1"/>
  <c r="AD24" i="1"/>
  <c r="S25" i="1"/>
  <c r="T25" i="1"/>
  <c r="U25" i="1"/>
  <c r="V25" i="1"/>
  <c r="W25" i="1"/>
  <c r="X25" i="1"/>
  <c r="Y25" i="1"/>
  <c r="Z25" i="1"/>
  <c r="AA25" i="1"/>
  <c r="AB25" i="1"/>
  <c r="AC25" i="1"/>
  <c r="AD25" i="1"/>
  <c r="S26" i="1"/>
  <c r="T26" i="1"/>
  <c r="U26" i="1"/>
  <c r="V26" i="1"/>
  <c r="W26" i="1"/>
  <c r="X26" i="1"/>
  <c r="Y26" i="1"/>
  <c r="Z26" i="1"/>
  <c r="AA26" i="1"/>
  <c r="AB26" i="1"/>
  <c r="AC26" i="1"/>
  <c r="AD26" i="1"/>
  <c r="S27" i="1"/>
  <c r="T27" i="1"/>
  <c r="U27" i="1"/>
  <c r="V27" i="1"/>
  <c r="W27" i="1"/>
  <c r="X27" i="1"/>
  <c r="Y27" i="1"/>
  <c r="Z27" i="1"/>
  <c r="AA27" i="1"/>
  <c r="AB27" i="1"/>
  <c r="AC27" i="1"/>
  <c r="AD27" i="1"/>
  <c r="S28" i="1"/>
  <c r="T28" i="1"/>
  <c r="U28" i="1"/>
  <c r="V28" i="1"/>
  <c r="W28" i="1"/>
  <c r="X28" i="1"/>
  <c r="Y28" i="1"/>
  <c r="Z28" i="1"/>
  <c r="AA28" i="1"/>
  <c r="AB28" i="1"/>
  <c r="AC28" i="1"/>
  <c r="AD28" i="1"/>
  <c r="S29" i="1"/>
  <c r="T29" i="1"/>
  <c r="U29" i="1"/>
  <c r="V29" i="1"/>
  <c r="W29" i="1"/>
  <c r="X29" i="1"/>
  <c r="Y29" i="1"/>
  <c r="Z29" i="1"/>
  <c r="AA29" i="1"/>
  <c r="AB29" i="1"/>
  <c r="AC29" i="1"/>
  <c r="AD29" i="1"/>
  <c r="S30" i="1"/>
  <c r="T30" i="1"/>
  <c r="U30" i="1"/>
  <c r="V30" i="1"/>
  <c r="W30" i="1"/>
  <c r="X30" i="1"/>
  <c r="Y30" i="1"/>
  <c r="Z30" i="1"/>
  <c r="AA30" i="1"/>
  <c r="AB30" i="1"/>
  <c r="AC30" i="1"/>
  <c r="AD30" i="1"/>
  <c r="S31" i="1"/>
  <c r="T31" i="1"/>
  <c r="U31" i="1"/>
  <c r="V31" i="1"/>
  <c r="W31" i="1"/>
  <c r="X31" i="1"/>
  <c r="Y31" i="1"/>
  <c r="Z31" i="1"/>
  <c r="AA31" i="1"/>
  <c r="AB31" i="1"/>
  <c r="AC31" i="1"/>
  <c r="AD31" i="1"/>
  <c r="S32" i="1"/>
  <c r="T32" i="1"/>
  <c r="U32" i="1"/>
  <c r="V32" i="1"/>
  <c r="W32" i="1"/>
  <c r="X32" i="1"/>
  <c r="Y32" i="1"/>
  <c r="Z32" i="1"/>
  <c r="AA32" i="1"/>
  <c r="AB32" i="1"/>
  <c r="AC32" i="1"/>
  <c r="AD32" i="1"/>
  <c r="S33" i="1"/>
  <c r="T33" i="1"/>
  <c r="U33" i="1"/>
  <c r="V33" i="1"/>
  <c r="W33" i="1"/>
  <c r="X33" i="1"/>
  <c r="Y33" i="1"/>
  <c r="Z33" i="1"/>
  <c r="AA33" i="1"/>
  <c r="AB33" i="1"/>
  <c r="AC33" i="1"/>
  <c r="AD33" i="1"/>
  <c r="S34" i="1"/>
  <c r="T34" i="1"/>
  <c r="U34" i="1"/>
  <c r="V34" i="1"/>
  <c r="W34" i="1"/>
  <c r="X34" i="1"/>
  <c r="Y34" i="1"/>
  <c r="Z34" i="1"/>
  <c r="AA34" i="1"/>
  <c r="AB34" i="1"/>
  <c r="AC34" i="1"/>
  <c r="AD34" i="1"/>
  <c r="S35" i="1"/>
  <c r="T35" i="1"/>
  <c r="U35" i="1"/>
  <c r="V35" i="1"/>
  <c r="W35" i="1"/>
  <c r="X35" i="1"/>
  <c r="Y35" i="1"/>
  <c r="Z35" i="1"/>
  <c r="AA35" i="1"/>
  <c r="AB35" i="1"/>
  <c r="AC35" i="1"/>
  <c r="AD35" i="1"/>
  <c r="S36" i="1"/>
  <c r="T36" i="1"/>
  <c r="U36" i="1"/>
  <c r="V36" i="1"/>
  <c r="W36" i="1"/>
  <c r="X36" i="1"/>
  <c r="Y36" i="1"/>
  <c r="Z36" i="1"/>
  <c r="AA36" i="1"/>
  <c r="AB36" i="1"/>
  <c r="AC36" i="1"/>
  <c r="AD36" i="1"/>
  <c r="S37" i="1"/>
  <c r="T37" i="1"/>
  <c r="U37" i="1"/>
  <c r="V37" i="1"/>
  <c r="W37" i="1"/>
  <c r="X37" i="1"/>
  <c r="Y37" i="1"/>
  <c r="Z37" i="1"/>
  <c r="AA37" i="1"/>
  <c r="AB37" i="1"/>
  <c r="AC37" i="1"/>
  <c r="AD37" i="1"/>
  <c r="S38" i="1"/>
  <c r="T38" i="1"/>
  <c r="U38" i="1"/>
  <c r="V38" i="1"/>
  <c r="W38" i="1"/>
  <c r="X38" i="1"/>
  <c r="Y38" i="1"/>
  <c r="Z38" i="1"/>
  <c r="AA38" i="1"/>
  <c r="AB38" i="1"/>
  <c r="AC38" i="1"/>
  <c r="AD38" i="1"/>
  <c r="S39" i="1"/>
  <c r="T39" i="1"/>
  <c r="U39" i="1"/>
  <c r="V39" i="1"/>
  <c r="W39" i="1"/>
  <c r="X39" i="1"/>
  <c r="Y39" i="1"/>
  <c r="Z39" i="1"/>
  <c r="AA39" i="1"/>
  <c r="AB39" i="1"/>
  <c r="AC39" i="1"/>
  <c r="AD39" i="1"/>
  <c r="S40" i="1"/>
  <c r="T40" i="1"/>
  <c r="U40" i="1"/>
  <c r="V40" i="1"/>
  <c r="W40" i="1"/>
  <c r="X40" i="1"/>
  <c r="Y40" i="1"/>
  <c r="Z40" i="1"/>
  <c r="AA40" i="1"/>
  <c r="AB40" i="1"/>
  <c r="AC40" i="1"/>
  <c r="AD40" i="1"/>
  <c r="S7" i="2"/>
  <c r="T7" i="2"/>
  <c r="U7" i="2"/>
  <c r="V7" i="2"/>
  <c r="W7" i="2"/>
  <c r="X7" i="2"/>
  <c r="Y7" i="2"/>
  <c r="Z7" i="2"/>
  <c r="AA7" i="2"/>
  <c r="AB7" i="2"/>
  <c r="AC7" i="2"/>
  <c r="AD7" i="2"/>
  <c r="S8" i="2"/>
  <c r="T8" i="2"/>
  <c r="U8" i="2"/>
  <c r="V8" i="2"/>
  <c r="W8" i="2"/>
  <c r="X8" i="2"/>
  <c r="Y8" i="2"/>
  <c r="Z8" i="2"/>
  <c r="AA8" i="2"/>
  <c r="AB8" i="2"/>
  <c r="AC8" i="2"/>
  <c r="AD8" i="2"/>
  <c r="S7" i="1"/>
  <c r="T7" i="1"/>
  <c r="U7" i="1"/>
  <c r="V7" i="1"/>
  <c r="W7" i="1"/>
  <c r="X7" i="1"/>
  <c r="Y7" i="1"/>
  <c r="Z7" i="1"/>
  <c r="AA7" i="1"/>
  <c r="AB7" i="1"/>
  <c r="AC7" i="1"/>
  <c r="AD7" i="1"/>
  <c r="S8" i="1"/>
  <c r="T8" i="1"/>
  <c r="U8" i="1"/>
  <c r="V8" i="1"/>
  <c r="W8" i="1"/>
  <c r="X8" i="1"/>
  <c r="Y8" i="1"/>
  <c r="Z8" i="1"/>
  <c r="AA8" i="1"/>
  <c r="AB8" i="1"/>
  <c r="AC8" i="1"/>
  <c r="AD8" i="1"/>
  <c r="AD6" i="2"/>
  <c r="AC6" i="2"/>
  <c r="AB6" i="2"/>
  <c r="AA6" i="2"/>
  <c r="Z6" i="2"/>
  <c r="Y6" i="2"/>
  <c r="X6" i="2"/>
  <c r="W6" i="2"/>
  <c r="V6" i="2"/>
  <c r="U6" i="2"/>
  <c r="T6" i="2"/>
  <c r="AD6" i="1"/>
  <c r="AC6" i="1"/>
  <c r="AB6" i="1"/>
  <c r="AA6" i="1"/>
  <c r="Z6" i="1"/>
  <c r="Y6" i="1"/>
  <c r="X6" i="1"/>
  <c r="W6" i="1"/>
  <c r="V6" i="1"/>
  <c r="U6" i="1"/>
  <c r="T6" i="1"/>
  <c r="S6" i="2"/>
  <c r="S6" i="1"/>
</calcChain>
</file>

<file path=xl/sharedStrings.xml><?xml version="1.0" encoding="utf-8"?>
<sst xmlns="http://schemas.openxmlformats.org/spreadsheetml/2006/main" count="163" uniqueCount="106">
  <si>
    <r>
      <rPr>
        <b/>
        <sz val="5"/>
        <rFont val="Arial"/>
        <family val="2"/>
      </rPr>
      <t xml:space="preserve">PEMERINTAH PROVINSI SUMATERA BARAT SEKRETARIAT DAERAH
</t>
    </r>
    <r>
      <rPr>
        <b/>
        <sz val="5"/>
        <rFont val="Arial"/>
        <family val="2"/>
      </rPr>
      <t xml:space="preserve">ANGGARAN KAS SKPD
</t>
    </r>
    <r>
      <rPr>
        <b/>
        <sz val="5"/>
        <rFont val="Arial"/>
        <family val="2"/>
      </rPr>
      <t>TAHUN ANGGARAN 2025</t>
    </r>
  </si>
  <si>
    <r>
      <rPr>
        <sz val="5"/>
        <rFont val="Arial MT"/>
        <family val="2"/>
      </rPr>
      <t>Kode Rekening</t>
    </r>
  </si>
  <si>
    <r>
      <rPr>
        <sz val="5"/>
        <rFont val="Arial MT"/>
        <family val="2"/>
      </rPr>
      <t>4.01.01.1.01.0001</t>
    </r>
  </si>
  <si>
    <t>Kode Sub Unit</t>
  </si>
  <si>
    <t>Kode Rekening</t>
  </si>
  <si>
    <t>Uraian</t>
  </si>
  <si>
    <t>Jumlah Anggaran</t>
  </si>
  <si>
    <t>Jumlah RAK</t>
  </si>
  <si>
    <t>Semester I</t>
  </si>
  <si>
    <t>Semester II</t>
  </si>
  <si>
    <t>Triwulan I</t>
  </si>
  <si>
    <t>Triwulan II</t>
  </si>
  <si>
    <t>Triwulan III</t>
  </si>
  <si>
    <t>Triwulan IV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</si>
  <si>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</si>
  <si>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</si>
  <si>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</si>
  <si>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</si>
  <si>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</si>
  <si>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</si>
  <si>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</si>
  <si>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</si>
  <si>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</si>
  <si>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</si>
  <si>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</si>
  <si>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</si>
  <si>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r>
      <rPr>
        <b/>
        <sz val="5"/>
        <rFont val="Times New Roman"/>
        <family val="1"/>
      </rPr>
      <t>JUMLAH ALOKASI KAS YANG TERSEDIA DARI BELANJA DAN
PENGELUARAN PEMBIAYAAN PER TRIWULAN</t>
    </r>
  </si>
  <si>
    <t>No</t>
  </si>
  <si>
    <t>Keuangan (Rp.)</t>
  </si>
  <si>
    <t xml:space="preserve">Fisik </t>
  </si>
  <si>
    <t>February</t>
  </si>
  <si>
    <t>January</t>
  </si>
  <si>
    <t>March</t>
  </si>
  <si>
    <t>May</t>
  </si>
  <si>
    <t>June</t>
  </si>
  <si>
    <t>July</t>
  </si>
  <si>
    <t>August</t>
  </si>
  <si>
    <t>October</t>
  </si>
  <si>
    <t>December</t>
  </si>
  <si>
    <r>
      <rPr>
        <b/>
        <sz val="5"/>
        <rFont val="Arial"/>
        <family val="2"/>
      </rPr>
      <t>SEKRETARIAT DAERAH</t>
    </r>
  </si>
  <si>
    <r>
      <rPr>
        <b/>
        <sz val="5"/>
        <rFont val="Arial"/>
        <family val="2"/>
      </rPr>
      <t>4.01</t>
    </r>
  </si>
  <si>
    <r>
      <rPr>
        <b/>
        <sz val="5"/>
        <rFont val="Arial"/>
        <family val="2"/>
      </rPr>
      <t xml:space="preserve">PROGRAM PENUNJANG URUSAN
</t>
    </r>
    <r>
      <rPr>
        <b/>
        <sz val="5"/>
        <rFont val="Arial"/>
        <family val="2"/>
      </rPr>
      <t>PEMERINTAHAN DAERAH PROVINSI</t>
    </r>
  </si>
  <si>
    <r>
      <rPr>
        <b/>
        <sz val="5"/>
        <rFont val="Arial"/>
        <family val="2"/>
      </rPr>
      <t>4.01.01.1.01</t>
    </r>
  </si>
  <si>
    <r>
      <rPr>
        <b/>
        <sz val="5"/>
        <rFont val="Arial"/>
        <family val="2"/>
      </rPr>
      <t xml:space="preserve">Perencanaan, Penganggaran, dan Evaluasi
</t>
    </r>
    <r>
      <rPr>
        <b/>
        <sz val="5"/>
        <rFont val="Arial"/>
        <family val="2"/>
      </rPr>
      <t>Kinerja Perangkat Daerah</t>
    </r>
  </si>
  <si>
    <r>
      <rPr>
        <sz val="5"/>
        <rFont val="Arial MT"/>
        <family val="2"/>
      </rPr>
      <t xml:space="preserve">Penyusunan Dokumen Perencanaan Perangkat
</t>
    </r>
    <r>
      <rPr>
        <sz val="5"/>
        <rFont val="Arial MT"/>
        <family val="2"/>
      </rPr>
      <t>Daerah</t>
    </r>
  </si>
  <si>
    <r>
      <rPr>
        <sz val="5"/>
        <rFont val="Arial MT"/>
        <family val="2"/>
      </rPr>
      <t>4.01.01.1.01.0006</t>
    </r>
  </si>
  <si>
    <r>
      <rPr>
        <sz val="5"/>
        <rFont val="Arial MT"/>
        <family val="2"/>
      </rPr>
      <t xml:space="preserve">Koordinasi dan Penyusunan Laporan Capaian
</t>
    </r>
    <r>
      <rPr>
        <sz val="5"/>
        <rFont val="Arial MT"/>
        <family val="2"/>
      </rPr>
      <t>Kinerja dan Ikhtisar Realisasi Kinerja SKPD</t>
    </r>
  </si>
  <si>
    <r>
      <rPr>
        <sz val="5"/>
        <rFont val="Arial MT"/>
        <family val="2"/>
      </rPr>
      <t>4.01.01.1.01.0007</t>
    </r>
  </si>
  <si>
    <r>
      <rPr>
        <sz val="5"/>
        <rFont val="Arial MT"/>
        <family val="2"/>
      </rPr>
      <t>Evaluasi Kinerja Perangkat Daerah</t>
    </r>
  </si>
  <si>
    <r>
      <rPr>
        <b/>
        <sz val="5"/>
        <rFont val="Arial"/>
        <family val="2"/>
      </rPr>
      <t>4.01.01.1.02</t>
    </r>
  </si>
  <si>
    <r>
      <rPr>
        <b/>
        <sz val="5"/>
        <rFont val="Arial"/>
        <family val="2"/>
      </rPr>
      <t>Administrasi Keuangan Perangkat Daerah</t>
    </r>
  </si>
  <si>
    <r>
      <rPr>
        <sz val="5"/>
        <rFont val="Arial MT"/>
        <family val="2"/>
      </rPr>
      <t>4.01.01.1.02.0007</t>
    </r>
  </si>
  <si>
    <r>
      <rPr>
        <sz val="5"/>
        <rFont val="Arial MT"/>
        <family val="2"/>
      </rPr>
      <t xml:space="preserve">Koordinasi dan Penyusunan Laporan Keuangan
</t>
    </r>
    <r>
      <rPr>
        <sz val="5"/>
        <rFont val="Arial MT"/>
        <family val="2"/>
      </rPr>
      <t>Bulanan/ Triwulanan/Semesteran SKPD</t>
    </r>
  </si>
  <si>
    <r>
      <rPr>
        <b/>
        <sz val="5"/>
        <rFont val="Arial"/>
        <family val="2"/>
      </rPr>
      <t>4.01.01.1.03</t>
    </r>
  </si>
  <si>
    <r>
      <rPr>
        <b/>
        <sz val="5"/>
        <rFont val="Arial"/>
        <family val="2"/>
      </rPr>
      <t xml:space="preserve">Administrasi Barang Milik Daerah pada
</t>
    </r>
    <r>
      <rPr>
        <b/>
        <sz val="5"/>
        <rFont val="Arial"/>
        <family val="2"/>
      </rPr>
      <t>Perangkat Daerah</t>
    </r>
  </si>
  <si>
    <r>
      <rPr>
        <sz val="5"/>
        <rFont val="Arial MT"/>
        <family val="2"/>
      </rPr>
      <t>4.01.01.1.03.0002</t>
    </r>
  </si>
  <si>
    <r>
      <rPr>
        <sz val="5"/>
        <rFont val="Arial MT"/>
        <family val="2"/>
      </rPr>
      <t>Pengamanan Barang Milik Daerah SKPD</t>
    </r>
  </si>
  <si>
    <r>
      <rPr>
        <sz val="5"/>
        <rFont val="Arial MT"/>
        <family val="2"/>
      </rPr>
      <t>4.01.01.1.03.0006</t>
    </r>
  </si>
  <si>
    <r>
      <rPr>
        <sz val="5"/>
        <rFont val="Arial MT"/>
        <family val="2"/>
      </rPr>
      <t xml:space="preserve">Penatausahaan Barang Milik Daerah pada
</t>
    </r>
    <r>
      <rPr>
        <sz val="5"/>
        <rFont val="Arial MT"/>
        <family val="2"/>
      </rPr>
      <t>SKPD</t>
    </r>
  </si>
  <si>
    <r>
      <rPr>
        <b/>
        <sz val="5"/>
        <rFont val="Arial"/>
        <family val="2"/>
      </rPr>
      <t>4.01.01.1.05</t>
    </r>
  </si>
  <si>
    <r>
      <rPr>
        <b/>
        <sz val="5"/>
        <rFont val="Arial"/>
        <family val="2"/>
      </rPr>
      <t xml:space="preserve">Administrasi Kepegawaian Perangkat
</t>
    </r>
    <r>
      <rPr>
        <b/>
        <sz val="5"/>
        <rFont val="Arial"/>
        <family val="2"/>
      </rPr>
      <t>Daerah</t>
    </r>
  </si>
  <si>
    <r>
      <rPr>
        <sz val="5"/>
        <rFont val="Arial MT"/>
        <family val="2"/>
      </rPr>
      <t>4.01.01.1.05.0009</t>
    </r>
  </si>
  <si>
    <r>
      <rPr>
        <sz val="5"/>
        <rFont val="Arial MT"/>
        <family val="2"/>
      </rPr>
      <t xml:space="preserve">Pendidikan dan Pelatihan Pegawai
</t>
    </r>
    <r>
      <rPr>
        <sz val="5"/>
        <rFont val="Arial MT"/>
        <family val="2"/>
      </rPr>
      <t>Berdasarkan Tugas dan Fungsi</t>
    </r>
  </si>
  <si>
    <r>
      <rPr>
        <b/>
        <sz val="5"/>
        <rFont val="Arial"/>
        <family val="2"/>
      </rPr>
      <t>4.01.01.1.06</t>
    </r>
  </si>
  <si>
    <r>
      <rPr>
        <b/>
        <sz val="5"/>
        <rFont val="Arial"/>
        <family val="2"/>
      </rPr>
      <t>Administrasi Umum Perangkat Daerah</t>
    </r>
  </si>
  <si>
    <r>
      <rPr>
        <sz val="5"/>
        <rFont val="Arial MT"/>
        <family val="2"/>
      </rPr>
      <t>4.01.01.1.06.0002</t>
    </r>
  </si>
  <si>
    <r>
      <rPr>
        <sz val="5"/>
        <rFont val="Arial MT"/>
        <family val="2"/>
      </rPr>
      <t xml:space="preserve">Penyediaan Peralatan dan Perlengkapan
</t>
    </r>
    <r>
      <rPr>
        <sz val="5"/>
        <rFont val="Arial MT"/>
        <family val="2"/>
      </rPr>
      <t>Kantor</t>
    </r>
  </si>
  <si>
    <r>
      <rPr>
        <sz val="5"/>
        <rFont val="Arial MT"/>
        <family val="2"/>
      </rPr>
      <t>4.01.01.1.06.0004</t>
    </r>
  </si>
  <si>
    <r>
      <rPr>
        <sz val="5"/>
        <rFont val="Arial MT"/>
        <family val="2"/>
      </rPr>
      <t>Penyediaan Bahan Logistik Kantor</t>
    </r>
  </si>
  <si>
    <r>
      <rPr>
        <sz val="5"/>
        <rFont val="Arial MT"/>
        <family val="2"/>
      </rPr>
      <t>4.01.01.1.06.0005</t>
    </r>
  </si>
  <si>
    <r>
      <rPr>
        <sz val="5"/>
        <rFont val="Arial MT"/>
        <family val="2"/>
      </rPr>
      <t>Penyediaan Barang Cetakan dan Penggandaan</t>
    </r>
  </si>
  <si>
    <r>
      <rPr>
        <sz val="5"/>
        <rFont val="Arial MT"/>
        <family val="2"/>
      </rPr>
      <t>4.01.01.1.06.0009</t>
    </r>
  </si>
  <si>
    <r>
      <rPr>
        <sz val="5"/>
        <rFont val="Arial MT"/>
        <family val="2"/>
      </rPr>
      <t xml:space="preserve">Penyelenggaraan Rapat Koordinasi dan
</t>
    </r>
    <r>
      <rPr>
        <sz val="5"/>
        <rFont val="Arial MT"/>
        <family val="2"/>
      </rPr>
      <t>Konsultasi SKPD</t>
    </r>
  </si>
  <si>
    <r>
      <rPr>
        <b/>
        <sz val="5"/>
        <rFont val="Arial"/>
        <family val="2"/>
      </rPr>
      <t>4.01.0.00.0.00.01.0011</t>
    </r>
  </si>
  <si>
    <r>
      <rPr>
        <b/>
        <sz val="5"/>
        <rFont val="Arial"/>
        <family val="2"/>
      </rPr>
      <t>BIRO ADMINISTRASI PEMBANGUNAN</t>
    </r>
  </si>
  <si>
    <r>
      <rPr>
        <sz val="5"/>
        <rFont val="Arial MT"/>
        <family val="2"/>
      </rPr>
      <t>4.01.01.1.06.0011</t>
    </r>
  </si>
  <si>
    <r>
      <rPr>
        <sz val="5"/>
        <rFont val="Arial MT"/>
        <family val="2"/>
      </rPr>
      <t xml:space="preserve">Dukungan Pelaksanaan Sistem Pemerintahan
</t>
    </r>
    <r>
      <rPr>
        <sz val="5"/>
        <rFont val="Arial MT"/>
        <family val="2"/>
      </rPr>
      <t>Berbasis Elektronik pada SKPD</t>
    </r>
  </si>
  <si>
    <r>
      <rPr>
        <b/>
        <sz val="5"/>
        <rFont val="Arial"/>
        <family val="2"/>
      </rPr>
      <t>4.01.01.1.08</t>
    </r>
  </si>
  <si>
    <r>
      <rPr>
        <b/>
        <sz val="5"/>
        <rFont val="Arial"/>
        <family val="2"/>
      </rPr>
      <t xml:space="preserve">Penyediaan Jasa Penunjang Urusan
</t>
    </r>
    <r>
      <rPr>
        <b/>
        <sz val="5"/>
        <rFont val="Arial"/>
        <family val="2"/>
      </rPr>
      <t>Pemerintahan Daerah</t>
    </r>
  </si>
  <si>
    <r>
      <rPr>
        <sz val="5"/>
        <rFont val="Arial MT"/>
        <family val="2"/>
      </rPr>
      <t>4.01.01.1.08.0001</t>
    </r>
  </si>
  <si>
    <r>
      <rPr>
        <sz val="5"/>
        <rFont val="Arial MT"/>
        <family val="2"/>
      </rPr>
      <t>Penyediaan Jasa Surat Menyurat</t>
    </r>
  </si>
  <si>
    <r>
      <rPr>
        <sz val="5"/>
        <rFont val="Arial MT"/>
        <family val="2"/>
      </rPr>
      <t>4.01.01.1.08.0004</t>
    </r>
  </si>
  <si>
    <r>
      <rPr>
        <sz val="5"/>
        <rFont val="Arial MT"/>
        <family val="2"/>
      </rPr>
      <t>Penyediaan Jasa Pelayanan Umum Kantor</t>
    </r>
  </si>
  <si>
    <r>
      <rPr>
        <b/>
        <sz val="5"/>
        <rFont val="Arial"/>
        <family val="2"/>
      </rPr>
      <t>4.01.01.1.09</t>
    </r>
  </si>
  <si>
    <r>
      <rPr>
        <b/>
        <sz val="5"/>
        <rFont val="Arial"/>
        <family val="2"/>
      </rPr>
      <t xml:space="preserve">Pemeliharaan Barang Milik Daerah
</t>
    </r>
    <r>
      <rPr>
        <b/>
        <sz val="5"/>
        <rFont val="Arial"/>
        <family val="2"/>
      </rPr>
      <t>Penunjang Urusan Pemerintahan Daerah</t>
    </r>
  </si>
  <si>
    <r>
      <rPr>
        <sz val="5"/>
        <rFont val="Arial MT"/>
        <family val="2"/>
      </rPr>
      <t>4.01.01.1.09.0002</t>
    </r>
  </si>
  <si>
    <r>
      <rPr>
        <sz val="5"/>
        <rFont val="Arial MT"/>
        <family val="2"/>
      </rPr>
      <t xml:space="preserve">Penyediaan Jasa Pemeliharaan, Biaya Pemeliharaan, Pajak dan Perizinan Kendaraan
</t>
    </r>
    <r>
      <rPr>
        <sz val="5"/>
        <rFont val="Arial MT"/>
        <family val="2"/>
      </rPr>
      <t>Dinas Operasional atau Lapangan</t>
    </r>
  </si>
  <si>
    <r>
      <rPr>
        <sz val="5"/>
        <rFont val="Arial MT"/>
        <family val="2"/>
      </rPr>
      <t>4.01.01.1.09.0006</t>
    </r>
  </si>
  <si>
    <r>
      <rPr>
        <sz val="5"/>
        <rFont val="Arial MT"/>
        <family val="2"/>
      </rPr>
      <t>Pemeliharaan Peralatan dan Mesin Lainnya</t>
    </r>
  </si>
  <si>
    <r>
      <rPr>
        <b/>
        <sz val="5"/>
        <rFont val="Arial"/>
        <family val="2"/>
      </rPr>
      <t xml:space="preserve">PROGRAM KEBIJAKAN ADMINISTRASI
</t>
    </r>
    <r>
      <rPr>
        <b/>
        <sz val="5"/>
        <rFont val="Arial"/>
        <family val="2"/>
      </rPr>
      <t>PEMBANGUNAN</t>
    </r>
  </si>
  <si>
    <r>
      <rPr>
        <b/>
        <sz val="5"/>
        <rFont val="Arial"/>
        <family val="2"/>
      </rPr>
      <t>4.01.08.1.01</t>
    </r>
  </si>
  <si>
    <r>
      <rPr>
        <b/>
        <sz val="5"/>
        <rFont val="Arial"/>
        <family val="2"/>
      </rPr>
      <t xml:space="preserve">Pengendalian Administrasi Pelaksanaan
</t>
    </r>
    <r>
      <rPr>
        <b/>
        <sz val="5"/>
        <rFont val="Arial"/>
        <family val="2"/>
      </rPr>
      <t>Pembangunan Daerah</t>
    </r>
  </si>
  <si>
    <r>
      <rPr>
        <sz val="5"/>
        <rFont val="Arial MT"/>
        <family val="2"/>
      </rPr>
      <t>4.01.08.1.01.0001</t>
    </r>
  </si>
  <si>
    <r>
      <rPr>
        <sz val="5"/>
        <rFont val="Arial MT"/>
        <family val="2"/>
      </rPr>
      <t xml:space="preserve">Pengendalian Administrasi Pelaksanaan
</t>
    </r>
    <r>
      <rPr>
        <sz val="5"/>
        <rFont val="Arial MT"/>
        <family val="2"/>
      </rPr>
      <t>Pembangunan APBD</t>
    </r>
  </si>
  <si>
    <r>
      <rPr>
        <sz val="5"/>
        <rFont val="Arial MT"/>
        <family val="2"/>
      </rPr>
      <t>4.01.08.1.01.0002</t>
    </r>
  </si>
  <si>
    <r>
      <rPr>
        <sz val="5"/>
        <rFont val="Arial MT"/>
        <family val="2"/>
      </rPr>
      <t xml:space="preserve">Pengendalian Administrasi Pelaksanaan
</t>
    </r>
    <r>
      <rPr>
        <sz val="5"/>
        <rFont val="Arial MT"/>
        <family val="2"/>
      </rPr>
      <t>Pembangunan APBN</t>
    </r>
  </si>
  <si>
    <r>
      <rPr>
        <sz val="5"/>
        <rFont val="Arial MT"/>
        <family val="2"/>
      </rPr>
      <t>4.01.08.1.01.0003</t>
    </r>
  </si>
  <si>
    <r>
      <rPr>
        <sz val="5"/>
        <rFont val="Arial MT"/>
        <family val="2"/>
      </rPr>
      <t xml:space="preserve">Pengendalian Administrasi Pelaksanaan
</t>
    </r>
    <r>
      <rPr>
        <sz val="5"/>
        <rFont val="Arial MT"/>
        <family val="2"/>
      </rPr>
      <t>Pembangunan Wilayah</t>
    </r>
  </si>
  <si>
    <r>
      <rPr>
        <b/>
        <sz val="5"/>
        <rFont val="Arial"/>
        <family val="2"/>
      </rPr>
      <t>4.01.08.1.02</t>
    </r>
  </si>
  <si>
    <r>
      <rPr>
        <b/>
        <sz val="5"/>
        <rFont val="Arial"/>
        <family val="2"/>
      </rPr>
      <t xml:space="preserve">Pelaporan Pelaksanaan Pembangunan
</t>
    </r>
    <r>
      <rPr>
        <b/>
        <sz val="5"/>
        <rFont val="Arial"/>
        <family val="2"/>
      </rPr>
      <t>Daerah</t>
    </r>
  </si>
  <si>
    <r>
      <rPr>
        <sz val="5"/>
        <rFont val="Arial MT"/>
        <family val="2"/>
      </rPr>
      <t>4.01.08.1.02.0001</t>
    </r>
  </si>
  <si>
    <r>
      <rPr>
        <sz val="5"/>
        <rFont val="Arial MT"/>
        <family val="2"/>
      </rPr>
      <t>Analisis Capaian Kinerja Pembangunan Daerah</t>
    </r>
  </si>
  <si>
    <r>
      <rPr>
        <sz val="5"/>
        <rFont val="Arial MT"/>
        <family val="2"/>
      </rPr>
      <t>4.01.08.1.02.0002</t>
    </r>
  </si>
  <si>
    <r>
      <rPr>
        <sz val="5"/>
        <rFont val="Arial MT"/>
        <family val="2"/>
      </rPr>
      <t>Pelaporan Pelaksanaan Pembangunan Daerah</t>
    </r>
  </si>
  <si>
    <r>
      <rPr>
        <sz val="5"/>
        <rFont val="Arial MT"/>
        <family val="2"/>
      </rPr>
      <t>4.01.08.1.02.0003</t>
    </r>
  </si>
  <si>
    <r>
      <rPr>
        <sz val="5"/>
        <rFont val="Arial MT"/>
        <family val="2"/>
      </rPr>
      <t xml:space="preserve">Fasilitasi Perumusan Kebijakan Teknis
</t>
    </r>
    <r>
      <rPr>
        <sz val="5"/>
        <rFont val="Arial MT"/>
        <family val="2"/>
      </rPr>
      <t>Pembangunan Daerah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</si>
</sst>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\.d\.yy;@"/>
  </numFmts>
  <fonts count="12" x14ac:knownFonts="1">
    <font>
      <sz val="10"/>
      <color rgb="FF000000"/>
      <name val="Times New Roman"/>
      <charset val="204"/>
    </font>
    <font>
      <sz val="5"/>
      <name val="Arial MT"/>
    </font>
    <font>
      <sz val="5"/>
      <color rgb="FF000000"/>
      <name val="Arial MT"/>
      <family val="2"/>
    </font>
    <font>
      <b/>
      <sz val="5"/>
      <name val="Arial"/>
      <family val="2"/>
    </font>
    <font>
      <sz val="5"/>
      <name val="Arial MT"/>
      <family val="2"/>
    </font>
    <font>
      <sz val="10"/>
      <color rgb="FF000000"/>
      <name val="Times New Roman"/>
      <family val="1"/>
    </font>
    <font>
      <sz val="5"/>
      <name val="Times New Roman"/>
      <family val="1"/>
    </font>
    <font>
      <b/>
      <sz val="5"/>
      <name val="Times New Roman"/>
      <family val="1"/>
    </font>
    <font>
      <b/>
      <sz val="5"/>
      <color rgb="FF000000"/>
      <name val="Times New Roman"/>
      <family val="1"/>
    </font>
    <font>
      <sz val="5"/>
      <color rgb="FF000000"/>
      <name val="Times New Roman"/>
      <family val="1"/>
    </font>
    <font>
      <b/>
      <sz val="5"/>
      <name val="Arial"/>
    </font>
    <font>
      <b/>
      <sz val="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BE3D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2" fontId="2" fillId="0" borderId="1" xfId="0" applyNumberFormat="1" applyFont="1" applyFill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2"/>
    </xf>
    <xf numFmtId="4" fontId="8" fillId="2" borderId="1" xfId="0" applyNumberFormat="1" applyFont="1" applyFill="1" applyBorder="1" applyAlignment="1">
      <alignment horizontal="center" vertical="center" shrinkToFit="1"/>
    </xf>
    <xf numFmtId="4" fontId="8" fillId="2" borderId="1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4" fontId="8" fillId="2" borderId="5" xfId="0" applyNumberFormat="1" applyFont="1" applyFill="1" applyBorder="1" applyAlignment="1">
      <alignment horizontal="right" vertical="center" shrinkToFit="1"/>
    </xf>
    <xf numFmtId="4" fontId="8" fillId="2" borderId="6" xfId="0" applyNumberFormat="1" applyFont="1" applyFill="1" applyBorder="1" applyAlignment="1">
      <alignment horizontal="right" vertical="center" shrinkToFit="1"/>
    </xf>
    <xf numFmtId="4" fontId="8" fillId="2" borderId="7" xfId="0" applyNumberFormat="1" applyFont="1" applyFill="1" applyBorder="1" applyAlignment="1">
      <alignment horizontal="right" vertical="center" shrinkToFi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top"/>
    </xf>
    <xf numFmtId="0" fontId="9" fillId="0" borderId="8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2" fontId="9" fillId="0" borderId="0" xfId="0" applyNumberFormat="1" applyFont="1" applyFill="1" applyBorder="1" applyAlignment="1">
      <alignment horizontal="left" vertical="top"/>
    </xf>
    <xf numFmtId="4" fontId="8" fillId="2" borderId="5" xfId="0" applyNumberFormat="1" applyFont="1" applyFill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3"/>
    </xf>
    <xf numFmtId="0" fontId="6" fillId="0" borderId="3" xfId="0" applyFont="1" applyFill="1" applyBorder="1" applyAlignment="1">
      <alignment horizontal="left" vertical="top" wrapText="1" indent="3"/>
    </xf>
    <xf numFmtId="0" fontId="6" fillId="0" borderId="4" xfId="0" applyFont="1" applyFill="1" applyBorder="1" applyAlignment="1">
      <alignment horizontal="left" vertical="top" wrapText="1" indent="3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3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left" vertical="center" wrapText="1" indent="2"/>
    </xf>
    <xf numFmtId="0" fontId="6" fillId="0" borderId="3" xfId="0" applyFont="1" applyFill="1" applyBorder="1" applyAlignment="1">
      <alignment horizontal="left" vertical="center" wrapText="1" indent="2"/>
    </xf>
    <xf numFmtId="0" fontId="6" fillId="0" borderId="4" xfId="0" applyFont="1" applyFill="1" applyBorder="1" applyAlignment="1">
      <alignment horizontal="left" vertical="center" wrapText="1" indent="2"/>
    </xf>
    <xf numFmtId="0" fontId="1" fillId="0" borderId="0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left" vertical="top" wrapText="1"/>
    </xf>
    <xf numFmtId="4" fontId="11" fillId="3" borderId="1" xfId="0" applyNumberFormat="1" applyFont="1" applyFill="1" applyBorder="1" applyAlignment="1">
      <alignment horizontal="right" vertical="top" shrinkToFit="1"/>
    </xf>
    <xf numFmtId="0" fontId="10" fillId="0" borderId="1" xfId="0" applyFont="1" applyFill="1" applyBorder="1" applyAlignment="1">
      <alignment horizontal="left" vertical="top" wrapText="1"/>
    </xf>
    <xf numFmtId="4" fontId="11" fillId="0" borderId="1" xfId="0" applyNumberFormat="1" applyFont="1" applyFill="1" applyBorder="1" applyAlignment="1">
      <alignment horizontal="right" vertical="top" shrinkToFit="1"/>
    </xf>
    <xf numFmtId="2" fontId="11" fillId="0" borderId="1" xfId="0" applyNumberFormat="1" applyFont="1" applyFill="1" applyBorder="1" applyAlignment="1">
      <alignment horizontal="right" vertical="top" shrinkToFit="1"/>
    </xf>
    <xf numFmtId="164" fontId="11" fillId="0" borderId="1" xfId="0" applyNumberFormat="1" applyFont="1" applyFill="1" applyBorder="1" applyAlignment="1">
      <alignment horizontal="left" vertical="center" shrinkToFit="1"/>
    </xf>
    <xf numFmtId="0" fontId="0" fillId="0" borderId="1" xfId="0" applyFill="1" applyBorder="1" applyAlignment="1">
      <alignment horizontal="left" vertical="top" wrapText="1"/>
    </xf>
    <xf numFmtId="4" fontId="11" fillId="0" borderId="1" xfId="0" applyNumberFormat="1" applyFont="1" applyFill="1" applyBorder="1" applyAlignment="1">
      <alignment horizontal="right" vertical="center" shrinkToFit="1"/>
    </xf>
    <xf numFmtId="0" fontId="10" fillId="0" borderId="1" xfId="0" applyFont="1" applyFill="1" applyBorder="1" applyAlignment="1">
      <alignment horizontal="left" vertical="center" wrapText="1"/>
    </xf>
    <xf numFmtId="2" fontId="11" fillId="0" borderId="1" xfId="0" applyNumberFormat="1" applyFont="1" applyFill="1" applyBorder="1" applyAlignment="1">
      <alignment horizontal="right" vertical="center" shrinkToFit="1"/>
    </xf>
    <xf numFmtId="0" fontId="1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right" vertical="top" shrinkToFit="1"/>
    </xf>
    <xf numFmtId="4" fontId="2" fillId="0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tabSelected="1" zoomScale="115" zoomScaleNormal="115" workbookViewId="0">
      <selection activeCell="S6" sqref="S6:AD40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34.35" customHeight="1" x14ac:dyDescent="0.2"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11"/>
    </row>
    <row r="2" spans="1:30" ht="34.35" customHeight="1" x14ac:dyDescent="0.2">
      <c r="B2" s="1"/>
      <c r="C2" s="1"/>
      <c r="D2" s="1"/>
      <c r="E2" s="1"/>
      <c r="F2" s="1"/>
      <c r="G2" s="35" t="s">
        <v>28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5" t="s">
        <v>29</v>
      </c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</row>
    <row r="3" spans="1:30" s="5" customFormat="1" ht="12.6" customHeight="1" x14ac:dyDescent="0.2">
      <c r="A3" s="33" t="s">
        <v>27</v>
      </c>
      <c r="B3" s="33" t="s">
        <v>3</v>
      </c>
      <c r="C3" s="37" t="s">
        <v>4</v>
      </c>
      <c r="D3" s="40" t="s">
        <v>5</v>
      </c>
      <c r="E3" s="43" t="s">
        <v>6</v>
      </c>
      <c r="F3" s="46" t="s">
        <v>7</v>
      </c>
      <c r="G3" s="30" t="s">
        <v>8</v>
      </c>
      <c r="H3" s="31"/>
      <c r="I3" s="31"/>
      <c r="J3" s="31"/>
      <c r="K3" s="31"/>
      <c r="L3" s="32"/>
      <c r="M3" s="30" t="s">
        <v>9</v>
      </c>
      <c r="N3" s="31"/>
      <c r="O3" s="31"/>
      <c r="P3" s="31"/>
      <c r="Q3" s="31"/>
      <c r="R3" s="32"/>
      <c r="S3" s="30" t="s">
        <v>8</v>
      </c>
      <c r="T3" s="31"/>
      <c r="U3" s="31"/>
      <c r="V3" s="31"/>
      <c r="W3" s="31"/>
      <c r="X3" s="32"/>
      <c r="Y3" s="30" t="s">
        <v>9</v>
      </c>
      <c r="Z3" s="31"/>
      <c r="AA3" s="31"/>
      <c r="AB3" s="31"/>
      <c r="AC3" s="31"/>
      <c r="AD3" s="32"/>
    </row>
    <row r="4" spans="1:30" s="5" customFormat="1" ht="12.6" customHeight="1" x14ac:dyDescent="0.2">
      <c r="A4" s="33"/>
      <c r="B4" s="33"/>
      <c r="C4" s="38"/>
      <c r="D4" s="41"/>
      <c r="E4" s="44"/>
      <c r="F4" s="47"/>
      <c r="G4" s="30" t="s">
        <v>10</v>
      </c>
      <c r="H4" s="31"/>
      <c r="I4" s="32"/>
      <c r="J4" s="30" t="s">
        <v>11</v>
      </c>
      <c r="K4" s="31"/>
      <c r="L4" s="32"/>
      <c r="M4" s="30" t="s">
        <v>12</v>
      </c>
      <c r="N4" s="31"/>
      <c r="O4" s="32"/>
      <c r="P4" s="30" t="s">
        <v>13</v>
      </c>
      <c r="Q4" s="31"/>
      <c r="R4" s="32"/>
      <c r="S4" s="30" t="s">
        <v>10</v>
      </c>
      <c r="T4" s="31"/>
      <c r="U4" s="32"/>
      <c r="V4" s="30" t="s">
        <v>11</v>
      </c>
      <c r="W4" s="31"/>
      <c r="X4" s="32"/>
      <c r="Y4" s="30" t="s">
        <v>12</v>
      </c>
      <c r="Z4" s="31"/>
      <c r="AA4" s="32"/>
      <c r="AB4" s="30" t="s">
        <v>13</v>
      </c>
      <c r="AC4" s="31"/>
      <c r="AD4" s="32"/>
    </row>
    <row r="5" spans="1:30" s="5" customFormat="1" ht="13.35" customHeight="1" x14ac:dyDescent="0.2">
      <c r="A5" s="33"/>
      <c r="B5" s="33"/>
      <c r="C5" s="39"/>
      <c r="D5" s="42"/>
      <c r="E5" s="45"/>
      <c r="F5" s="48"/>
      <c r="G5" s="6" t="s">
        <v>14</v>
      </c>
      <c r="H5" s="7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29" t="s">
        <v>31</v>
      </c>
      <c r="T5" s="29" t="s">
        <v>30</v>
      </c>
      <c r="U5" s="29" t="s">
        <v>32</v>
      </c>
      <c r="V5" s="29" t="s">
        <v>17</v>
      </c>
      <c r="W5" s="29" t="s">
        <v>33</v>
      </c>
      <c r="X5" s="29" t="s">
        <v>34</v>
      </c>
      <c r="Y5" s="29" t="s">
        <v>35</v>
      </c>
      <c r="Z5" s="29" t="s">
        <v>36</v>
      </c>
      <c r="AA5" s="29" t="s">
        <v>22</v>
      </c>
      <c r="AB5" s="29" t="s">
        <v>37</v>
      </c>
      <c r="AC5" s="29" t="s">
        <v>24</v>
      </c>
      <c r="AD5" s="29" t="s">
        <v>38</v>
      </c>
    </row>
    <row r="6" spans="1:30" ht="22.5" customHeight="1" x14ac:dyDescent="0.2">
      <c r="B6" s="22"/>
      <c r="C6" s="53" t="s">
        <v>73</v>
      </c>
      <c r="D6" s="53" t="s">
        <v>74</v>
      </c>
      <c r="E6" s="54">
        <v>1180013737</v>
      </c>
      <c r="F6" s="54">
        <v>1180013737</v>
      </c>
      <c r="G6" s="54">
        <v>16721366</v>
      </c>
      <c r="H6" s="54">
        <v>127686566</v>
      </c>
      <c r="I6" s="54">
        <v>87529752</v>
      </c>
      <c r="J6" s="54">
        <v>72621366</v>
      </c>
      <c r="K6" s="54">
        <v>56221366</v>
      </c>
      <c r="L6" s="54">
        <v>69365079</v>
      </c>
      <c r="M6" s="54">
        <v>131105837</v>
      </c>
      <c r="N6" s="54">
        <v>101607786</v>
      </c>
      <c r="O6" s="54">
        <v>99451599</v>
      </c>
      <c r="P6" s="54">
        <v>165071199</v>
      </c>
      <c r="Q6" s="54">
        <v>195798019</v>
      </c>
      <c r="R6" s="54">
        <v>56833802</v>
      </c>
      <c r="S6" s="27">
        <f>G6/$E6*100</f>
        <v>1.4170484186490448</v>
      </c>
      <c r="T6" s="27">
        <f t="shared" ref="T6:AD6" si="0">H6/$E6*100</f>
        <v>10.820769453466117</v>
      </c>
      <c r="U6" s="27">
        <f t="shared" si="0"/>
        <v>7.4176892400024661</v>
      </c>
      <c r="V6" s="27">
        <f t="shared" si="0"/>
        <v>6.1542814056240092</v>
      </c>
      <c r="W6" s="27">
        <f t="shared" si="0"/>
        <v>4.7644670767082768</v>
      </c>
      <c r="X6" s="27">
        <f t="shared" si="0"/>
        <v>5.8783280927177888</v>
      </c>
      <c r="Y6" s="27">
        <f t="shared" si="0"/>
        <v>11.110534808968923</v>
      </c>
      <c r="Z6" s="27">
        <f t="shared" si="0"/>
        <v>8.6107290800123977</v>
      </c>
      <c r="AA6" s="27">
        <f t="shared" si="0"/>
        <v>8.4280034953525291</v>
      </c>
      <c r="AB6" s="27">
        <f t="shared" si="0"/>
        <v>13.988921808628064</v>
      </c>
      <c r="AC6" s="27">
        <f t="shared" si="0"/>
        <v>16.592859291433825</v>
      </c>
      <c r="AD6" s="27">
        <f t="shared" si="0"/>
        <v>4.8163678284365599</v>
      </c>
    </row>
    <row r="7" spans="1:30" x14ac:dyDescent="0.2">
      <c r="C7" s="55" t="s">
        <v>40</v>
      </c>
      <c r="D7" s="55" t="s">
        <v>39</v>
      </c>
      <c r="E7" s="56">
        <v>1180013737</v>
      </c>
      <c r="F7" s="56">
        <v>1180013737</v>
      </c>
      <c r="G7" s="56">
        <v>16721366</v>
      </c>
      <c r="H7" s="56">
        <v>127686566</v>
      </c>
      <c r="I7" s="56">
        <v>87529752</v>
      </c>
      <c r="J7" s="56">
        <v>72621366</v>
      </c>
      <c r="K7" s="56">
        <v>56221366</v>
      </c>
      <c r="L7" s="56">
        <v>69365079</v>
      </c>
      <c r="M7" s="56">
        <v>131105837</v>
      </c>
      <c r="N7" s="56">
        <v>101607786</v>
      </c>
      <c r="O7" s="56">
        <v>99451599</v>
      </c>
      <c r="P7" s="56">
        <v>165071199</v>
      </c>
      <c r="Q7" s="56">
        <v>195798019</v>
      </c>
      <c r="R7" s="56">
        <v>56833802</v>
      </c>
      <c r="S7" s="27">
        <f t="shared" ref="S7:S9" si="1">G7/$E7*100</f>
        <v>1.4170484186490448</v>
      </c>
      <c r="T7" s="27">
        <f t="shared" ref="T7:T9" si="2">H7/$E7*100</f>
        <v>10.820769453466117</v>
      </c>
      <c r="U7" s="27">
        <f t="shared" ref="U7:U9" si="3">I7/$E7*100</f>
        <v>7.4176892400024661</v>
      </c>
      <c r="V7" s="27">
        <f t="shared" ref="V7:V9" si="4">J7/$E7*100</f>
        <v>6.1542814056240092</v>
      </c>
      <c r="W7" s="27">
        <f t="shared" ref="W7:W9" si="5">K7/$E7*100</f>
        <v>4.7644670767082768</v>
      </c>
      <c r="X7" s="27">
        <f t="shared" ref="X7:X9" si="6">L7/$E7*100</f>
        <v>5.8783280927177888</v>
      </c>
      <c r="Y7" s="27">
        <f t="shared" ref="Y7:Y9" si="7">M7/$E7*100</f>
        <v>11.110534808968923</v>
      </c>
      <c r="Z7" s="27">
        <f t="shared" ref="Z7:Z9" si="8">N7/$E7*100</f>
        <v>8.6107290800123977</v>
      </c>
      <c r="AA7" s="27">
        <f t="shared" ref="AA7:AA9" si="9">O7/$E7*100</f>
        <v>8.4280034953525291</v>
      </c>
      <c r="AB7" s="27">
        <f t="shared" ref="AB7:AB9" si="10">P7/$E7*100</f>
        <v>13.988921808628064</v>
      </c>
      <c r="AC7" s="27">
        <f t="shared" ref="AC7:AC9" si="11">Q7/$E7*100</f>
        <v>16.592859291433825</v>
      </c>
      <c r="AD7" s="27">
        <f t="shared" ref="AD7:AD9" si="12">R7/$E7*100</f>
        <v>4.8163678284365599</v>
      </c>
    </row>
    <row r="8" spans="1:30" ht="16.5" x14ac:dyDescent="0.2">
      <c r="C8" s="58">
        <v>36982</v>
      </c>
      <c r="D8" s="59" t="s">
        <v>41</v>
      </c>
      <c r="E8" s="60">
        <v>995493737</v>
      </c>
      <c r="F8" s="60">
        <v>995493737</v>
      </c>
      <c r="G8" s="60">
        <v>16721366</v>
      </c>
      <c r="H8" s="60">
        <v>127686566</v>
      </c>
      <c r="I8" s="60">
        <v>86209752</v>
      </c>
      <c r="J8" s="60">
        <v>62621366</v>
      </c>
      <c r="K8" s="60">
        <v>54721366</v>
      </c>
      <c r="L8" s="60">
        <v>64545079</v>
      </c>
      <c r="M8" s="60">
        <v>109555837</v>
      </c>
      <c r="N8" s="60">
        <v>86107786</v>
      </c>
      <c r="O8" s="60">
        <v>87101599</v>
      </c>
      <c r="P8" s="60">
        <v>123421199</v>
      </c>
      <c r="Q8" s="60">
        <v>149168019</v>
      </c>
      <c r="R8" s="60">
        <v>27633802</v>
      </c>
      <c r="S8" s="27">
        <f t="shared" si="1"/>
        <v>1.6797057960797599</v>
      </c>
      <c r="T8" s="27">
        <f t="shared" si="2"/>
        <v>12.826455984021926</v>
      </c>
      <c r="U8" s="27">
        <f t="shared" si="3"/>
        <v>8.6599994350341145</v>
      </c>
      <c r="V8" s="27">
        <f t="shared" si="4"/>
        <v>6.2904831715681606</v>
      </c>
      <c r="W8" s="27">
        <f t="shared" si="5"/>
        <v>5.4969071091202659</v>
      </c>
      <c r="X8" s="27">
        <f t="shared" si="6"/>
        <v>6.4837252712921885</v>
      </c>
      <c r="Y8" s="27">
        <f t="shared" si="7"/>
        <v>11.005175917043463</v>
      </c>
      <c r="Z8" s="27">
        <f t="shared" si="8"/>
        <v>8.6497566784792337</v>
      </c>
      <c r="AA8" s="27">
        <f t="shared" si="9"/>
        <v>8.7495878439665162</v>
      </c>
      <c r="AB8" s="27">
        <f t="shared" si="10"/>
        <v>12.397988496837725</v>
      </c>
      <c r="AC8" s="27">
        <f t="shared" si="11"/>
        <v>14.98432521027503</v>
      </c>
      <c r="AD8" s="27">
        <f t="shared" si="12"/>
        <v>2.7758890862816146</v>
      </c>
    </row>
    <row r="9" spans="1:30" ht="24.75" x14ac:dyDescent="0.2">
      <c r="C9" s="61" t="s">
        <v>42</v>
      </c>
      <c r="D9" s="59" t="s">
        <v>43</v>
      </c>
      <c r="E9" s="60">
        <v>15523200</v>
      </c>
      <c r="F9" s="60">
        <v>15523200</v>
      </c>
      <c r="G9" s="62">
        <v>0</v>
      </c>
      <c r="H9" s="60">
        <v>5875200</v>
      </c>
      <c r="I9" s="62">
        <v>0</v>
      </c>
      <c r="J9" s="60">
        <v>400000</v>
      </c>
      <c r="K9" s="62">
        <v>0</v>
      </c>
      <c r="L9" s="60">
        <v>377600</v>
      </c>
      <c r="M9" s="62">
        <v>0</v>
      </c>
      <c r="N9" s="60">
        <v>2000000</v>
      </c>
      <c r="O9" s="62">
        <v>0</v>
      </c>
      <c r="P9" s="60">
        <v>3369600</v>
      </c>
      <c r="Q9" s="60">
        <v>3500800</v>
      </c>
      <c r="R9" s="62">
        <v>0</v>
      </c>
      <c r="S9" s="27">
        <f t="shared" si="1"/>
        <v>0</v>
      </c>
      <c r="T9" s="27">
        <f t="shared" si="2"/>
        <v>37.847866419294988</v>
      </c>
      <c r="U9" s="27">
        <f t="shared" si="3"/>
        <v>0</v>
      </c>
      <c r="V9" s="27">
        <f t="shared" si="4"/>
        <v>2.5767882910740054</v>
      </c>
      <c r="W9" s="27">
        <f t="shared" si="5"/>
        <v>0</v>
      </c>
      <c r="X9" s="27">
        <f t="shared" si="6"/>
        <v>2.4324881467738613</v>
      </c>
      <c r="Y9" s="27">
        <f t="shared" si="7"/>
        <v>0</v>
      </c>
      <c r="Z9" s="27">
        <f t="shared" si="8"/>
        <v>12.883941455370026</v>
      </c>
      <c r="AA9" s="27">
        <f t="shared" si="9"/>
        <v>0</v>
      </c>
      <c r="AB9" s="27">
        <f t="shared" si="10"/>
        <v>21.706864564007422</v>
      </c>
      <c r="AC9" s="27">
        <f t="shared" si="11"/>
        <v>22.552051123479693</v>
      </c>
      <c r="AD9" s="27">
        <f t="shared" si="12"/>
        <v>0</v>
      </c>
    </row>
    <row r="10" spans="1:30" ht="24.75" x14ac:dyDescent="0.2">
      <c r="C10" s="2" t="s">
        <v>2</v>
      </c>
      <c r="D10" s="59" t="s">
        <v>44</v>
      </c>
      <c r="E10" s="3">
        <v>3283200</v>
      </c>
      <c r="F10" s="3">
        <v>3283200</v>
      </c>
      <c r="G10" s="4">
        <v>0</v>
      </c>
      <c r="H10" s="3">
        <v>3283200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27">
        <f t="shared" ref="S10:S40" si="13">G10/$E10*100</f>
        <v>0</v>
      </c>
      <c r="T10" s="27">
        <f t="shared" ref="T10:T40" si="14">H10/$E10*100</f>
        <v>100</v>
      </c>
      <c r="U10" s="27">
        <f t="shared" ref="U10:U40" si="15">I10/$E10*100</f>
        <v>0</v>
      </c>
      <c r="V10" s="27">
        <f t="shared" ref="V10:V40" si="16">J10/$E10*100</f>
        <v>0</v>
      </c>
      <c r="W10" s="27">
        <f t="shared" ref="W10:W40" si="17">K10/$E10*100</f>
        <v>0</v>
      </c>
      <c r="X10" s="27">
        <f t="shared" ref="X10:X40" si="18">L10/$E10*100</f>
        <v>0</v>
      </c>
      <c r="Y10" s="27">
        <f t="shared" ref="Y10:Y40" si="19">M10/$E10*100</f>
        <v>0</v>
      </c>
      <c r="Z10" s="27">
        <f t="shared" ref="Z10:Z40" si="20">N10/$E10*100</f>
        <v>0</v>
      </c>
      <c r="AA10" s="27">
        <f t="shared" ref="AA10:AA40" si="21">O10/$E10*100</f>
        <v>0</v>
      </c>
      <c r="AB10" s="27">
        <f t="shared" ref="AB10:AB40" si="22">P10/$E10*100</f>
        <v>0</v>
      </c>
      <c r="AC10" s="27">
        <f t="shared" ref="AC10:AC40" si="23">Q10/$E10*100</f>
        <v>0</v>
      </c>
      <c r="AD10" s="27">
        <f t="shared" ref="AD10:AD40" si="24">R10/$E10*100</f>
        <v>0</v>
      </c>
    </row>
    <row r="11" spans="1:30" ht="16.5" x14ac:dyDescent="0.2">
      <c r="C11" s="2" t="s">
        <v>45</v>
      </c>
      <c r="D11" s="59" t="s">
        <v>46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27" t="e">
        <f t="shared" si="13"/>
        <v>#DIV/0!</v>
      </c>
      <c r="T11" s="27" t="e">
        <f t="shared" si="14"/>
        <v>#DIV/0!</v>
      </c>
      <c r="U11" s="27" t="e">
        <f t="shared" si="15"/>
        <v>#DIV/0!</v>
      </c>
      <c r="V11" s="27" t="e">
        <f t="shared" si="16"/>
        <v>#DIV/0!</v>
      </c>
      <c r="W11" s="27" t="e">
        <f t="shared" si="17"/>
        <v>#DIV/0!</v>
      </c>
      <c r="X11" s="27" t="e">
        <f t="shared" si="18"/>
        <v>#DIV/0!</v>
      </c>
      <c r="Y11" s="27" t="e">
        <f t="shared" si="19"/>
        <v>#DIV/0!</v>
      </c>
      <c r="Z11" s="27" t="e">
        <f t="shared" si="20"/>
        <v>#DIV/0!</v>
      </c>
      <c r="AA11" s="27" t="e">
        <f t="shared" si="21"/>
        <v>#DIV/0!</v>
      </c>
      <c r="AB11" s="27" t="e">
        <f t="shared" si="22"/>
        <v>#DIV/0!</v>
      </c>
      <c r="AC11" s="27" t="e">
        <f t="shared" si="23"/>
        <v>#DIV/0!</v>
      </c>
      <c r="AD11" s="27" t="e">
        <f t="shared" si="24"/>
        <v>#DIV/0!</v>
      </c>
    </row>
    <row r="12" spans="1:30" x14ac:dyDescent="0.2">
      <c r="C12" s="63" t="s">
        <v>47</v>
      </c>
      <c r="D12" s="63" t="s">
        <v>48</v>
      </c>
      <c r="E12" s="65">
        <v>12240000</v>
      </c>
      <c r="F12" s="65">
        <v>12240000</v>
      </c>
      <c r="G12" s="64">
        <v>0</v>
      </c>
      <c r="H12" s="65">
        <v>2592000</v>
      </c>
      <c r="I12" s="64">
        <v>0</v>
      </c>
      <c r="J12" s="65">
        <v>400000</v>
      </c>
      <c r="K12" s="64">
        <v>0</v>
      </c>
      <c r="L12" s="65">
        <v>377600</v>
      </c>
      <c r="M12" s="64">
        <v>0</v>
      </c>
      <c r="N12" s="65">
        <v>2000000</v>
      </c>
      <c r="O12" s="64">
        <v>0</v>
      </c>
      <c r="P12" s="65">
        <v>3369600</v>
      </c>
      <c r="Q12" s="65">
        <v>3500800</v>
      </c>
      <c r="R12" s="64">
        <v>0</v>
      </c>
      <c r="S12" s="27">
        <f t="shared" si="13"/>
        <v>0</v>
      </c>
      <c r="T12" s="27">
        <f t="shared" si="14"/>
        <v>21.176470588235293</v>
      </c>
      <c r="U12" s="27">
        <f t="shared" si="15"/>
        <v>0</v>
      </c>
      <c r="V12" s="27">
        <f t="shared" si="16"/>
        <v>3.2679738562091507</v>
      </c>
      <c r="W12" s="27">
        <f t="shared" si="17"/>
        <v>0</v>
      </c>
      <c r="X12" s="27">
        <f t="shared" si="18"/>
        <v>3.0849673202614376</v>
      </c>
      <c r="Y12" s="27">
        <f t="shared" si="19"/>
        <v>0</v>
      </c>
      <c r="Z12" s="27">
        <f t="shared" si="20"/>
        <v>16.33986928104575</v>
      </c>
      <c r="AA12" s="27">
        <f t="shared" si="21"/>
        <v>0</v>
      </c>
      <c r="AB12" s="27">
        <f t="shared" si="22"/>
        <v>27.52941176470588</v>
      </c>
      <c r="AC12" s="27">
        <f t="shared" si="23"/>
        <v>28.601307189542485</v>
      </c>
      <c r="AD12" s="27">
        <f t="shared" si="24"/>
        <v>0</v>
      </c>
    </row>
    <row r="13" spans="1:30" ht="16.5" x14ac:dyDescent="0.2">
      <c r="C13" s="55" t="s">
        <v>49</v>
      </c>
      <c r="D13" s="55" t="s">
        <v>50</v>
      </c>
      <c r="E13" s="56">
        <v>1969920</v>
      </c>
      <c r="F13" s="56">
        <v>1969920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57">
        <v>0</v>
      </c>
      <c r="Q13" s="56">
        <v>1969920</v>
      </c>
      <c r="R13" s="57">
        <v>0</v>
      </c>
      <c r="S13" s="27">
        <f t="shared" si="13"/>
        <v>0</v>
      </c>
      <c r="T13" s="27">
        <f t="shared" si="14"/>
        <v>0</v>
      </c>
      <c r="U13" s="27">
        <f t="shared" si="15"/>
        <v>0</v>
      </c>
      <c r="V13" s="27">
        <f t="shared" si="16"/>
        <v>0</v>
      </c>
      <c r="W13" s="27">
        <f t="shared" si="17"/>
        <v>0</v>
      </c>
      <c r="X13" s="27">
        <f t="shared" si="18"/>
        <v>0</v>
      </c>
      <c r="Y13" s="27">
        <f t="shared" si="19"/>
        <v>0</v>
      </c>
      <c r="Z13" s="27">
        <f t="shared" si="20"/>
        <v>0</v>
      </c>
      <c r="AA13" s="27">
        <f t="shared" si="21"/>
        <v>0</v>
      </c>
      <c r="AB13" s="27">
        <f t="shared" si="22"/>
        <v>0</v>
      </c>
      <c r="AC13" s="27">
        <f t="shared" si="23"/>
        <v>100</v>
      </c>
      <c r="AD13" s="27">
        <f t="shared" si="24"/>
        <v>0</v>
      </c>
    </row>
    <row r="14" spans="1:30" ht="24.75" x14ac:dyDescent="0.2">
      <c r="C14" s="2" t="s">
        <v>51</v>
      </c>
      <c r="D14" s="59" t="s">
        <v>52</v>
      </c>
      <c r="E14" s="3">
        <v>1969920</v>
      </c>
      <c r="F14" s="3">
        <v>1969920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3">
        <v>1969920</v>
      </c>
      <c r="R14" s="4">
        <v>0</v>
      </c>
      <c r="S14" s="27">
        <f t="shared" si="13"/>
        <v>0</v>
      </c>
      <c r="T14" s="27">
        <f t="shared" si="14"/>
        <v>0</v>
      </c>
      <c r="U14" s="27">
        <f t="shared" si="15"/>
        <v>0</v>
      </c>
      <c r="V14" s="27">
        <f t="shared" si="16"/>
        <v>0</v>
      </c>
      <c r="W14" s="27">
        <f t="shared" si="17"/>
        <v>0</v>
      </c>
      <c r="X14" s="27">
        <f t="shared" si="18"/>
        <v>0</v>
      </c>
      <c r="Y14" s="27">
        <f t="shared" si="19"/>
        <v>0</v>
      </c>
      <c r="Z14" s="27">
        <f t="shared" si="20"/>
        <v>0</v>
      </c>
      <c r="AA14" s="27">
        <f t="shared" si="21"/>
        <v>0</v>
      </c>
      <c r="AB14" s="27">
        <f t="shared" si="22"/>
        <v>0</v>
      </c>
      <c r="AC14" s="27">
        <f t="shared" si="23"/>
        <v>100</v>
      </c>
      <c r="AD14" s="27">
        <f t="shared" si="24"/>
        <v>0</v>
      </c>
    </row>
    <row r="15" spans="1:30" ht="24.75" x14ac:dyDescent="0.2">
      <c r="C15" s="61" t="s">
        <v>53</v>
      </c>
      <c r="D15" s="59" t="s">
        <v>54</v>
      </c>
      <c r="E15" s="60">
        <v>18400000</v>
      </c>
      <c r="F15" s="60">
        <v>18400000</v>
      </c>
      <c r="G15" s="62">
        <v>0</v>
      </c>
      <c r="H15" s="62">
        <v>0</v>
      </c>
      <c r="I15" s="62">
        <v>0</v>
      </c>
      <c r="J15" s="62"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0">
        <v>18400000</v>
      </c>
      <c r="Q15" s="62">
        <v>0</v>
      </c>
      <c r="R15" s="62">
        <v>0</v>
      </c>
      <c r="S15" s="27">
        <f t="shared" si="13"/>
        <v>0</v>
      </c>
      <c r="T15" s="27">
        <f t="shared" si="14"/>
        <v>0</v>
      </c>
      <c r="U15" s="27">
        <f t="shared" si="15"/>
        <v>0</v>
      </c>
      <c r="V15" s="27">
        <f t="shared" si="16"/>
        <v>0</v>
      </c>
      <c r="W15" s="27">
        <f t="shared" si="17"/>
        <v>0</v>
      </c>
      <c r="X15" s="27">
        <f t="shared" si="18"/>
        <v>0</v>
      </c>
      <c r="Y15" s="27">
        <f t="shared" si="19"/>
        <v>0</v>
      </c>
      <c r="Z15" s="27">
        <f t="shared" si="20"/>
        <v>0</v>
      </c>
      <c r="AA15" s="27">
        <f t="shared" si="21"/>
        <v>0</v>
      </c>
      <c r="AB15" s="27">
        <f t="shared" si="22"/>
        <v>100</v>
      </c>
      <c r="AC15" s="27">
        <f t="shared" si="23"/>
        <v>0</v>
      </c>
      <c r="AD15" s="27">
        <f t="shared" si="24"/>
        <v>0</v>
      </c>
    </row>
    <row r="16" spans="1:30" x14ac:dyDescent="0.2">
      <c r="C16" s="63" t="s">
        <v>55</v>
      </c>
      <c r="D16" s="63" t="s">
        <v>56</v>
      </c>
      <c r="E16" s="65">
        <v>18400000</v>
      </c>
      <c r="F16" s="65">
        <v>18400000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5">
        <v>18400000</v>
      </c>
      <c r="Q16" s="64">
        <v>0</v>
      </c>
      <c r="R16" s="64">
        <v>0</v>
      </c>
      <c r="S16" s="27">
        <f t="shared" si="13"/>
        <v>0</v>
      </c>
      <c r="T16" s="27">
        <f t="shared" si="14"/>
        <v>0</v>
      </c>
      <c r="U16" s="27">
        <f t="shared" si="15"/>
        <v>0</v>
      </c>
      <c r="V16" s="27">
        <f t="shared" si="16"/>
        <v>0</v>
      </c>
      <c r="W16" s="27">
        <f t="shared" si="17"/>
        <v>0</v>
      </c>
      <c r="X16" s="27">
        <f t="shared" si="18"/>
        <v>0</v>
      </c>
      <c r="Y16" s="27">
        <f t="shared" si="19"/>
        <v>0</v>
      </c>
      <c r="Z16" s="27">
        <f t="shared" si="20"/>
        <v>0</v>
      </c>
      <c r="AA16" s="27">
        <f t="shared" si="21"/>
        <v>0</v>
      </c>
      <c r="AB16" s="27">
        <f t="shared" si="22"/>
        <v>100</v>
      </c>
      <c r="AC16" s="27">
        <f t="shared" si="23"/>
        <v>0</v>
      </c>
      <c r="AD16" s="27">
        <f t="shared" si="24"/>
        <v>0</v>
      </c>
    </row>
    <row r="17" spans="3:30" ht="16.5" x14ac:dyDescent="0.2">
      <c r="C17" s="2" t="s">
        <v>57</v>
      </c>
      <c r="D17" s="59" t="s">
        <v>58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27" t="e">
        <f t="shared" si="13"/>
        <v>#DIV/0!</v>
      </c>
      <c r="T17" s="27" t="e">
        <f t="shared" si="14"/>
        <v>#DIV/0!</v>
      </c>
      <c r="U17" s="27" t="e">
        <f t="shared" si="15"/>
        <v>#DIV/0!</v>
      </c>
      <c r="V17" s="27" t="e">
        <f t="shared" si="16"/>
        <v>#DIV/0!</v>
      </c>
      <c r="W17" s="27" t="e">
        <f t="shared" si="17"/>
        <v>#DIV/0!</v>
      </c>
      <c r="X17" s="27" t="e">
        <f t="shared" si="18"/>
        <v>#DIV/0!</v>
      </c>
      <c r="Y17" s="27" t="e">
        <f t="shared" si="19"/>
        <v>#DIV/0!</v>
      </c>
      <c r="Z17" s="27" t="e">
        <f t="shared" si="20"/>
        <v>#DIV/0!</v>
      </c>
      <c r="AA17" s="27" t="e">
        <f t="shared" si="21"/>
        <v>#DIV/0!</v>
      </c>
      <c r="AB17" s="27" t="e">
        <f t="shared" si="22"/>
        <v>#DIV/0!</v>
      </c>
      <c r="AC17" s="27" t="e">
        <f t="shared" si="23"/>
        <v>#DIV/0!</v>
      </c>
      <c r="AD17" s="27" t="e">
        <f t="shared" si="24"/>
        <v>#DIV/0!</v>
      </c>
    </row>
    <row r="18" spans="3:30" ht="24.75" x14ac:dyDescent="0.2">
      <c r="C18" s="61" t="s">
        <v>59</v>
      </c>
      <c r="D18" s="59" t="s">
        <v>60</v>
      </c>
      <c r="E18" s="60">
        <v>34320000</v>
      </c>
      <c r="F18" s="60">
        <v>34320000</v>
      </c>
      <c r="G18" s="62">
        <v>0</v>
      </c>
      <c r="H18" s="60">
        <v>26320000</v>
      </c>
      <c r="I18" s="62">
        <v>0</v>
      </c>
      <c r="J18" s="62"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0">
        <v>8000000</v>
      </c>
      <c r="Q18" s="62">
        <v>0</v>
      </c>
      <c r="R18" s="62">
        <v>0</v>
      </c>
      <c r="S18" s="27">
        <f t="shared" si="13"/>
        <v>0</v>
      </c>
      <c r="T18" s="27">
        <f t="shared" si="14"/>
        <v>76.689976689976689</v>
      </c>
      <c r="U18" s="27">
        <f t="shared" si="15"/>
        <v>0</v>
      </c>
      <c r="V18" s="27">
        <f t="shared" si="16"/>
        <v>0</v>
      </c>
      <c r="W18" s="27">
        <f t="shared" si="17"/>
        <v>0</v>
      </c>
      <c r="X18" s="27">
        <f t="shared" si="18"/>
        <v>0</v>
      </c>
      <c r="Y18" s="27">
        <f t="shared" si="19"/>
        <v>0</v>
      </c>
      <c r="Z18" s="27">
        <f t="shared" si="20"/>
        <v>0</v>
      </c>
      <c r="AA18" s="27">
        <f t="shared" si="21"/>
        <v>0</v>
      </c>
      <c r="AB18" s="27">
        <f t="shared" si="22"/>
        <v>23.310023310023308</v>
      </c>
      <c r="AC18" s="27">
        <f t="shared" si="23"/>
        <v>0</v>
      </c>
      <c r="AD18" s="27">
        <f t="shared" si="24"/>
        <v>0</v>
      </c>
    </row>
    <row r="19" spans="3:30" ht="16.5" x14ac:dyDescent="0.2">
      <c r="C19" s="2" t="s">
        <v>61</v>
      </c>
      <c r="D19" s="59" t="s">
        <v>62</v>
      </c>
      <c r="E19" s="3">
        <v>34320000</v>
      </c>
      <c r="F19" s="3">
        <v>34320000</v>
      </c>
      <c r="G19" s="4">
        <v>0</v>
      </c>
      <c r="H19" s="3">
        <v>26320000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3">
        <v>8000000</v>
      </c>
      <c r="Q19" s="4">
        <v>0</v>
      </c>
      <c r="R19" s="4">
        <v>0</v>
      </c>
      <c r="S19" s="27">
        <f t="shared" si="13"/>
        <v>0</v>
      </c>
      <c r="T19" s="27">
        <f t="shared" si="14"/>
        <v>76.689976689976689</v>
      </c>
      <c r="U19" s="27">
        <f t="shared" si="15"/>
        <v>0</v>
      </c>
      <c r="V19" s="27">
        <f t="shared" si="16"/>
        <v>0</v>
      </c>
      <c r="W19" s="27">
        <f t="shared" si="17"/>
        <v>0</v>
      </c>
      <c r="X19" s="27">
        <f t="shared" si="18"/>
        <v>0</v>
      </c>
      <c r="Y19" s="27">
        <f t="shared" si="19"/>
        <v>0</v>
      </c>
      <c r="Z19" s="27">
        <f t="shared" si="20"/>
        <v>0</v>
      </c>
      <c r="AA19" s="27">
        <f t="shared" si="21"/>
        <v>0</v>
      </c>
      <c r="AB19" s="27">
        <f t="shared" si="22"/>
        <v>23.310023310023308</v>
      </c>
      <c r="AC19" s="27">
        <f t="shared" si="23"/>
        <v>0</v>
      </c>
      <c r="AD19" s="27">
        <f t="shared" si="24"/>
        <v>0</v>
      </c>
    </row>
    <row r="20" spans="3:30" ht="16.5" x14ac:dyDescent="0.2">
      <c r="C20" s="55" t="s">
        <v>63</v>
      </c>
      <c r="D20" s="55" t="s">
        <v>64</v>
      </c>
      <c r="E20" s="56">
        <v>754576861</v>
      </c>
      <c r="F20" s="56">
        <v>754576861</v>
      </c>
      <c r="G20" s="56">
        <v>10239534</v>
      </c>
      <c r="H20" s="56">
        <v>83239534</v>
      </c>
      <c r="I20" s="56">
        <v>70239534</v>
      </c>
      <c r="J20" s="56">
        <v>52239534</v>
      </c>
      <c r="K20" s="56">
        <v>48239534</v>
      </c>
      <c r="L20" s="56">
        <v>52685647</v>
      </c>
      <c r="M20" s="56">
        <v>92599005</v>
      </c>
      <c r="N20" s="56">
        <v>71125954</v>
      </c>
      <c r="O20" s="56">
        <v>80619767</v>
      </c>
      <c r="P20" s="56">
        <v>61619767</v>
      </c>
      <c r="Q20" s="56">
        <v>122215467</v>
      </c>
      <c r="R20" s="56">
        <v>9513584</v>
      </c>
      <c r="S20" s="27">
        <f t="shared" si="13"/>
        <v>1.3569901926796559</v>
      </c>
      <c r="T20" s="27">
        <f t="shared" si="14"/>
        <v>11.031286314516342</v>
      </c>
      <c r="U20" s="27">
        <f t="shared" si="15"/>
        <v>9.3084664572029592</v>
      </c>
      <c r="V20" s="27">
        <f t="shared" si="16"/>
        <v>6.923023577845969</v>
      </c>
      <c r="W20" s="27">
        <f t="shared" si="17"/>
        <v>6.3929251602110808</v>
      </c>
      <c r="X20" s="27">
        <f t="shared" si="18"/>
        <v>6.9821445266925561</v>
      </c>
      <c r="Y20" s="27">
        <f t="shared" si="19"/>
        <v>12.271646506266245</v>
      </c>
      <c r="Z20" s="27">
        <f t="shared" si="20"/>
        <v>9.4259389170429397</v>
      </c>
      <c r="AA20" s="27">
        <f t="shared" si="21"/>
        <v>10.684102729198317</v>
      </c>
      <c r="AB20" s="27">
        <f t="shared" si="22"/>
        <v>8.1661352454326064</v>
      </c>
      <c r="AC20" s="27">
        <f t="shared" si="23"/>
        <v>16.196556416802185</v>
      </c>
      <c r="AD20" s="27">
        <f t="shared" si="24"/>
        <v>1.2607839561091445</v>
      </c>
    </row>
    <row r="21" spans="3:30" ht="16.5" x14ac:dyDescent="0.2">
      <c r="C21" s="2" t="s">
        <v>65</v>
      </c>
      <c r="D21" s="59" t="s">
        <v>66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27" t="e">
        <f t="shared" si="13"/>
        <v>#DIV/0!</v>
      </c>
      <c r="T21" s="27" t="e">
        <f t="shared" si="14"/>
        <v>#DIV/0!</v>
      </c>
      <c r="U21" s="27" t="e">
        <f t="shared" si="15"/>
        <v>#DIV/0!</v>
      </c>
      <c r="V21" s="27" t="e">
        <f t="shared" si="16"/>
        <v>#DIV/0!</v>
      </c>
      <c r="W21" s="27" t="e">
        <f t="shared" si="17"/>
        <v>#DIV/0!</v>
      </c>
      <c r="X21" s="27" t="e">
        <f t="shared" si="18"/>
        <v>#DIV/0!</v>
      </c>
      <c r="Y21" s="27" t="e">
        <f t="shared" si="19"/>
        <v>#DIV/0!</v>
      </c>
      <c r="Z21" s="27" t="e">
        <f t="shared" si="20"/>
        <v>#DIV/0!</v>
      </c>
      <c r="AA21" s="27" t="e">
        <f t="shared" si="21"/>
        <v>#DIV/0!</v>
      </c>
      <c r="AB21" s="27" t="e">
        <f t="shared" si="22"/>
        <v>#DIV/0!</v>
      </c>
      <c r="AC21" s="27" t="e">
        <f t="shared" si="23"/>
        <v>#DIV/0!</v>
      </c>
      <c r="AD21" s="27" t="e">
        <f t="shared" si="24"/>
        <v>#DIV/0!</v>
      </c>
    </row>
    <row r="22" spans="3:30" x14ac:dyDescent="0.2">
      <c r="C22" s="63" t="s">
        <v>67</v>
      </c>
      <c r="D22" s="63" t="s">
        <v>68</v>
      </c>
      <c r="E22" s="65">
        <v>14599005</v>
      </c>
      <c r="F22" s="65">
        <v>14599005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5">
        <v>14599005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27">
        <f t="shared" si="13"/>
        <v>0</v>
      </c>
      <c r="T22" s="27">
        <f t="shared" si="14"/>
        <v>0</v>
      </c>
      <c r="U22" s="27">
        <f t="shared" si="15"/>
        <v>0</v>
      </c>
      <c r="V22" s="27">
        <f t="shared" si="16"/>
        <v>0</v>
      </c>
      <c r="W22" s="27">
        <f t="shared" si="17"/>
        <v>0</v>
      </c>
      <c r="X22" s="27">
        <f t="shared" si="18"/>
        <v>0</v>
      </c>
      <c r="Y22" s="27">
        <f t="shared" si="19"/>
        <v>100</v>
      </c>
      <c r="Z22" s="27">
        <f t="shared" si="20"/>
        <v>0</v>
      </c>
      <c r="AA22" s="27">
        <f t="shared" si="21"/>
        <v>0</v>
      </c>
      <c r="AB22" s="27">
        <f t="shared" si="22"/>
        <v>0</v>
      </c>
      <c r="AC22" s="27">
        <f t="shared" si="23"/>
        <v>0</v>
      </c>
      <c r="AD22" s="27">
        <f t="shared" si="24"/>
        <v>0</v>
      </c>
    </row>
    <row r="23" spans="3:30" x14ac:dyDescent="0.2">
      <c r="C23" s="63" t="s">
        <v>69</v>
      </c>
      <c r="D23" s="63" t="s">
        <v>70</v>
      </c>
      <c r="E23" s="65">
        <v>19086500</v>
      </c>
      <c r="F23" s="65">
        <v>19086500</v>
      </c>
      <c r="G23" s="64">
        <v>0</v>
      </c>
      <c r="H23" s="64">
        <v>0</v>
      </c>
      <c r="I23" s="64">
        <v>0</v>
      </c>
      <c r="J23" s="65">
        <v>2000000</v>
      </c>
      <c r="K23" s="65">
        <v>2000000</v>
      </c>
      <c r="L23" s="65">
        <v>2452300</v>
      </c>
      <c r="M23" s="65">
        <v>1500000</v>
      </c>
      <c r="N23" s="65">
        <v>2000000</v>
      </c>
      <c r="O23" s="65">
        <v>1500000</v>
      </c>
      <c r="P23" s="65">
        <v>1500000</v>
      </c>
      <c r="Q23" s="65">
        <v>6134200</v>
      </c>
      <c r="R23" s="64">
        <v>0</v>
      </c>
      <c r="S23" s="27">
        <f t="shared" si="13"/>
        <v>0</v>
      </c>
      <c r="T23" s="27">
        <f t="shared" si="14"/>
        <v>0</v>
      </c>
      <c r="U23" s="27">
        <f t="shared" si="15"/>
        <v>0</v>
      </c>
      <c r="V23" s="27">
        <f t="shared" si="16"/>
        <v>10.478610536242893</v>
      </c>
      <c r="W23" s="27">
        <f t="shared" si="17"/>
        <v>10.478610536242893</v>
      </c>
      <c r="X23" s="27">
        <f t="shared" si="18"/>
        <v>12.848348309014224</v>
      </c>
      <c r="Y23" s="27">
        <f t="shared" si="19"/>
        <v>7.8589579021821701</v>
      </c>
      <c r="Z23" s="27">
        <f t="shared" si="20"/>
        <v>10.478610536242893</v>
      </c>
      <c r="AA23" s="27">
        <f t="shared" si="21"/>
        <v>7.8589579021821701</v>
      </c>
      <c r="AB23" s="27">
        <f t="shared" si="22"/>
        <v>7.8589579021821701</v>
      </c>
      <c r="AC23" s="27">
        <f t="shared" si="23"/>
        <v>32.138946375710582</v>
      </c>
      <c r="AD23" s="27">
        <f t="shared" si="24"/>
        <v>0</v>
      </c>
    </row>
    <row r="24" spans="3:30" ht="16.5" x14ac:dyDescent="0.2">
      <c r="C24" s="2" t="s">
        <v>71</v>
      </c>
      <c r="D24" s="59" t="s">
        <v>72</v>
      </c>
      <c r="E24" s="3">
        <v>621355317</v>
      </c>
      <c r="F24" s="3">
        <v>621355317</v>
      </c>
      <c r="G24" s="4">
        <v>0</v>
      </c>
      <c r="H24" s="3">
        <v>73000000</v>
      </c>
      <c r="I24" s="3">
        <v>50000000</v>
      </c>
      <c r="J24" s="3">
        <v>40000000</v>
      </c>
      <c r="K24" s="3">
        <v>36000000</v>
      </c>
      <c r="L24" s="3">
        <v>39993813</v>
      </c>
      <c r="M24" s="3">
        <v>74000000</v>
      </c>
      <c r="N24" s="3">
        <v>64006187</v>
      </c>
      <c r="O24" s="3">
        <v>74000000</v>
      </c>
      <c r="P24" s="3">
        <v>55000000</v>
      </c>
      <c r="Q24" s="3">
        <v>110961500</v>
      </c>
      <c r="R24" s="3">
        <v>4393817</v>
      </c>
      <c r="S24" s="27">
        <f t="shared" si="13"/>
        <v>0</v>
      </c>
      <c r="T24" s="27">
        <f t="shared" si="14"/>
        <v>11.748511359403077</v>
      </c>
      <c r="U24" s="27">
        <f t="shared" si="15"/>
        <v>8.0469255886322451</v>
      </c>
      <c r="V24" s="27">
        <f t="shared" si="16"/>
        <v>6.4375404709057964</v>
      </c>
      <c r="W24" s="27">
        <f t="shared" si="17"/>
        <v>5.7937864238152166</v>
      </c>
      <c r="X24" s="27">
        <f t="shared" si="18"/>
        <v>6.4365447443334585</v>
      </c>
      <c r="Y24" s="27">
        <f t="shared" si="19"/>
        <v>11.909449871175722</v>
      </c>
      <c r="Z24" s="27">
        <f t="shared" si="20"/>
        <v>10.301060480021611</v>
      </c>
      <c r="AA24" s="27">
        <f t="shared" si="21"/>
        <v>11.909449871175722</v>
      </c>
      <c r="AB24" s="27">
        <f t="shared" si="22"/>
        <v>8.8516181474954685</v>
      </c>
      <c r="AC24" s="27">
        <f t="shared" si="23"/>
        <v>17.857978674060337</v>
      </c>
      <c r="AD24" s="27">
        <f t="shared" si="24"/>
        <v>0.70713436898134729</v>
      </c>
    </row>
    <row r="25" spans="3:30" ht="16.5" x14ac:dyDescent="0.2">
      <c r="C25" s="2" t="s">
        <v>75</v>
      </c>
      <c r="D25" s="59" t="s">
        <v>76</v>
      </c>
      <c r="E25" s="3">
        <v>99536039</v>
      </c>
      <c r="F25" s="3">
        <v>99536039</v>
      </c>
      <c r="G25" s="3">
        <v>10239534</v>
      </c>
      <c r="H25" s="3">
        <v>10239534</v>
      </c>
      <c r="I25" s="3">
        <v>20239534</v>
      </c>
      <c r="J25" s="3">
        <v>10239534</v>
      </c>
      <c r="K25" s="3">
        <v>10239534</v>
      </c>
      <c r="L25" s="3">
        <v>10239534</v>
      </c>
      <c r="M25" s="3">
        <v>2500000</v>
      </c>
      <c r="N25" s="3">
        <v>5119767</v>
      </c>
      <c r="O25" s="3">
        <v>5119767</v>
      </c>
      <c r="P25" s="3">
        <v>5119767</v>
      </c>
      <c r="Q25" s="3">
        <v>5119767</v>
      </c>
      <c r="R25" s="3">
        <v>5119767</v>
      </c>
      <c r="S25" s="27">
        <f t="shared" si="13"/>
        <v>10.287262887766712</v>
      </c>
      <c r="T25" s="27">
        <f t="shared" si="14"/>
        <v>10.287262887766712</v>
      </c>
      <c r="U25" s="27">
        <f t="shared" si="15"/>
        <v>20.333875250953074</v>
      </c>
      <c r="V25" s="27">
        <f t="shared" si="16"/>
        <v>10.287262887766712</v>
      </c>
      <c r="W25" s="27">
        <f t="shared" si="17"/>
        <v>10.287262887766712</v>
      </c>
      <c r="X25" s="27">
        <f t="shared" si="18"/>
        <v>10.287262887766712</v>
      </c>
      <c r="Y25" s="27">
        <f t="shared" si="19"/>
        <v>2.511653090796591</v>
      </c>
      <c r="Z25" s="27">
        <f t="shared" si="20"/>
        <v>5.1436314438833559</v>
      </c>
      <c r="AA25" s="27">
        <f t="shared" si="21"/>
        <v>5.1436314438833559</v>
      </c>
      <c r="AB25" s="27">
        <f t="shared" si="22"/>
        <v>5.1436314438833559</v>
      </c>
      <c r="AC25" s="27">
        <f t="shared" si="23"/>
        <v>5.1436314438833559</v>
      </c>
      <c r="AD25" s="27">
        <f t="shared" si="24"/>
        <v>5.1436314438833559</v>
      </c>
    </row>
    <row r="26" spans="3:30" ht="16.5" x14ac:dyDescent="0.2">
      <c r="C26" s="61" t="s">
        <v>77</v>
      </c>
      <c r="D26" s="59" t="s">
        <v>78</v>
      </c>
      <c r="E26" s="60">
        <v>89758756</v>
      </c>
      <c r="F26" s="60">
        <v>89758756</v>
      </c>
      <c r="G26" s="60">
        <v>6481832</v>
      </c>
      <c r="H26" s="60">
        <v>6481832</v>
      </c>
      <c r="I26" s="60">
        <v>12470218</v>
      </c>
      <c r="J26" s="60">
        <v>6481832</v>
      </c>
      <c r="K26" s="60">
        <v>6481832</v>
      </c>
      <c r="L26" s="60">
        <v>6481832</v>
      </c>
      <c r="M26" s="60">
        <v>6481832</v>
      </c>
      <c r="N26" s="60">
        <v>6481832</v>
      </c>
      <c r="O26" s="60">
        <v>6481832</v>
      </c>
      <c r="P26" s="60">
        <v>6481832</v>
      </c>
      <c r="Q26" s="60">
        <v>6481832</v>
      </c>
      <c r="R26" s="60">
        <v>12470218</v>
      </c>
      <c r="S26" s="27">
        <f t="shared" si="13"/>
        <v>7.2213924176934894</v>
      </c>
      <c r="T26" s="27">
        <f t="shared" si="14"/>
        <v>7.2213924176934894</v>
      </c>
      <c r="U26" s="27">
        <f t="shared" si="15"/>
        <v>13.893037911532552</v>
      </c>
      <c r="V26" s="27">
        <f t="shared" si="16"/>
        <v>7.2213924176934894</v>
      </c>
      <c r="W26" s="27">
        <f t="shared" si="17"/>
        <v>7.2213924176934894</v>
      </c>
      <c r="X26" s="27">
        <f t="shared" si="18"/>
        <v>7.2213924176934894</v>
      </c>
      <c r="Y26" s="27">
        <f t="shared" si="19"/>
        <v>7.2213924176934894</v>
      </c>
      <c r="Z26" s="27">
        <f t="shared" si="20"/>
        <v>7.2213924176934894</v>
      </c>
      <c r="AA26" s="27">
        <f t="shared" si="21"/>
        <v>7.2213924176934894</v>
      </c>
      <c r="AB26" s="27">
        <f t="shared" si="22"/>
        <v>7.2213924176934894</v>
      </c>
      <c r="AC26" s="27">
        <f t="shared" si="23"/>
        <v>7.2213924176934894</v>
      </c>
      <c r="AD26" s="27">
        <f t="shared" si="24"/>
        <v>13.893037911532552</v>
      </c>
    </row>
    <row r="27" spans="3:30" x14ac:dyDescent="0.2">
      <c r="C27" s="63" t="s">
        <v>79</v>
      </c>
      <c r="D27" s="63" t="s">
        <v>80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27" t="e">
        <f t="shared" si="13"/>
        <v>#DIV/0!</v>
      </c>
      <c r="T27" s="27" t="e">
        <f t="shared" si="14"/>
        <v>#DIV/0!</v>
      </c>
      <c r="U27" s="27" t="e">
        <f t="shared" si="15"/>
        <v>#DIV/0!</v>
      </c>
      <c r="V27" s="27" t="e">
        <f t="shared" si="16"/>
        <v>#DIV/0!</v>
      </c>
      <c r="W27" s="27" t="e">
        <f t="shared" si="17"/>
        <v>#DIV/0!</v>
      </c>
      <c r="X27" s="27" t="e">
        <f t="shared" si="18"/>
        <v>#DIV/0!</v>
      </c>
      <c r="Y27" s="27" t="e">
        <f t="shared" si="19"/>
        <v>#DIV/0!</v>
      </c>
      <c r="Z27" s="27" t="e">
        <f t="shared" si="20"/>
        <v>#DIV/0!</v>
      </c>
      <c r="AA27" s="27" t="e">
        <f t="shared" si="21"/>
        <v>#DIV/0!</v>
      </c>
      <c r="AB27" s="27" t="e">
        <f t="shared" si="22"/>
        <v>#DIV/0!</v>
      </c>
      <c r="AC27" s="27" t="e">
        <f t="shared" si="23"/>
        <v>#DIV/0!</v>
      </c>
      <c r="AD27" s="27" t="e">
        <f t="shared" si="24"/>
        <v>#DIV/0!</v>
      </c>
    </row>
    <row r="28" spans="3:30" x14ac:dyDescent="0.2">
      <c r="C28" s="63" t="s">
        <v>81</v>
      </c>
      <c r="D28" s="63" t="s">
        <v>82</v>
      </c>
      <c r="E28" s="65">
        <v>89758756</v>
      </c>
      <c r="F28" s="65">
        <v>89758756</v>
      </c>
      <c r="G28" s="65">
        <v>6481832</v>
      </c>
      <c r="H28" s="65">
        <v>6481832</v>
      </c>
      <c r="I28" s="65">
        <v>12470218</v>
      </c>
      <c r="J28" s="65">
        <v>6481832</v>
      </c>
      <c r="K28" s="65">
        <v>6481832</v>
      </c>
      <c r="L28" s="65">
        <v>6481832</v>
      </c>
      <c r="M28" s="65">
        <v>6481832</v>
      </c>
      <c r="N28" s="65">
        <v>6481832</v>
      </c>
      <c r="O28" s="65">
        <v>6481832</v>
      </c>
      <c r="P28" s="65">
        <v>6481832</v>
      </c>
      <c r="Q28" s="65">
        <v>6481832</v>
      </c>
      <c r="R28" s="65">
        <v>12470218</v>
      </c>
      <c r="S28" s="27">
        <f t="shared" si="13"/>
        <v>7.2213924176934894</v>
      </c>
      <c r="T28" s="27">
        <f t="shared" si="14"/>
        <v>7.2213924176934894</v>
      </c>
      <c r="U28" s="27">
        <f t="shared" si="15"/>
        <v>13.893037911532552</v>
      </c>
      <c r="V28" s="27">
        <f t="shared" si="16"/>
        <v>7.2213924176934894</v>
      </c>
      <c r="W28" s="27">
        <f t="shared" si="17"/>
        <v>7.2213924176934894</v>
      </c>
      <c r="X28" s="27">
        <f t="shared" si="18"/>
        <v>7.2213924176934894</v>
      </c>
      <c r="Y28" s="27">
        <f t="shared" si="19"/>
        <v>7.2213924176934894</v>
      </c>
      <c r="Z28" s="27">
        <f t="shared" si="20"/>
        <v>7.2213924176934894</v>
      </c>
      <c r="AA28" s="27">
        <f t="shared" si="21"/>
        <v>7.2213924176934894</v>
      </c>
      <c r="AB28" s="27">
        <f t="shared" si="22"/>
        <v>7.2213924176934894</v>
      </c>
      <c r="AC28" s="27">
        <f t="shared" si="23"/>
        <v>7.2213924176934894</v>
      </c>
      <c r="AD28" s="27">
        <f t="shared" si="24"/>
        <v>13.893037911532552</v>
      </c>
    </row>
    <row r="29" spans="3:30" ht="24.75" x14ac:dyDescent="0.2">
      <c r="C29" s="61" t="s">
        <v>83</v>
      </c>
      <c r="D29" s="59" t="s">
        <v>84</v>
      </c>
      <c r="E29" s="60">
        <v>80945000</v>
      </c>
      <c r="F29" s="60">
        <v>80945000</v>
      </c>
      <c r="G29" s="62">
        <v>0</v>
      </c>
      <c r="H29" s="60">
        <v>5770000</v>
      </c>
      <c r="I29" s="60">
        <v>3500000</v>
      </c>
      <c r="J29" s="60">
        <v>3500000</v>
      </c>
      <c r="K29" s="62">
        <v>0</v>
      </c>
      <c r="L29" s="60">
        <v>5000000</v>
      </c>
      <c r="M29" s="60">
        <v>10475000</v>
      </c>
      <c r="N29" s="60">
        <v>6500000</v>
      </c>
      <c r="O29" s="62">
        <v>0</v>
      </c>
      <c r="P29" s="60">
        <v>25550000</v>
      </c>
      <c r="Q29" s="60">
        <v>15000000</v>
      </c>
      <c r="R29" s="60">
        <v>5650000</v>
      </c>
      <c r="S29" s="27">
        <f t="shared" si="13"/>
        <v>0</v>
      </c>
      <c r="T29" s="27">
        <f t="shared" si="14"/>
        <v>7.1282969917845458</v>
      </c>
      <c r="U29" s="27">
        <f t="shared" si="15"/>
        <v>4.3239236518623754</v>
      </c>
      <c r="V29" s="27">
        <f t="shared" si="16"/>
        <v>4.3239236518623754</v>
      </c>
      <c r="W29" s="27">
        <f t="shared" si="17"/>
        <v>0</v>
      </c>
      <c r="X29" s="27">
        <f t="shared" si="18"/>
        <v>6.1770337883748221</v>
      </c>
      <c r="Y29" s="27">
        <f t="shared" si="19"/>
        <v>12.940885786645254</v>
      </c>
      <c r="Z29" s="27">
        <f t="shared" si="20"/>
        <v>8.0301439248872697</v>
      </c>
      <c r="AA29" s="27">
        <f t="shared" si="21"/>
        <v>0</v>
      </c>
      <c r="AB29" s="27">
        <f t="shared" si="22"/>
        <v>31.564642658595343</v>
      </c>
      <c r="AC29" s="27">
        <f t="shared" si="23"/>
        <v>18.531101365124467</v>
      </c>
      <c r="AD29" s="27">
        <f t="shared" si="24"/>
        <v>6.9800481808635491</v>
      </c>
    </row>
    <row r="30" spans="3:30" ht="33" x14ac:dyDescent="0.2">
      <c r="C30" s="2" t="s">
        <v>85</v>
      </c>
      <c r="D30" s="59" t="s">
        <v>86</v>
      </c>
      <c r="E30" s="3">
        <v>73400000</v>
      </c>
      <c r="F30" s="3">
        <v>73400000</v>
      </c>
      <c r="G30" s="4">
        <v>0</v>
      </c>
      <c r="H30" s="3">
        <v>3700000</v>
      </c>
      <c r="I30" s="3">
        <v>3500000</v>
      </c>
      <c r="J30" s="3">
        <v>3500000</v>
      </c>
      <c r="K30" s="4">
        <v>0</v>
      </c>
      <c r="L30" s="3">
        <v>5000000</v>
      </c>
      <c r="M30" s="3">
        <v>5000000</v>
      </c>
      <c r="N30" s="3">
        <v>6500000</v>
      </c>
      <c r="O30" s="4">
        <v>0</v>
      </c>
      <c r="P30" s="3">
        <v>25550000</v>
      </c>
      <c r="Q30" s="3">
        <v>15000000</v>
      </c>
      <c r="R30" s="3">
        <v>5650000</v>
      </c>
      <c r="S30" s="27">
        <f t="shared" si="13"/>
        <v>0</v>
      </c>
      <c r="T30" s="27">
        <f t="shared" si="14"/>
        <v>5.0408719346049047</v>
      </c>
      <c r="U30" s="27">
        <f t="shared" si="15"/>
        <v>4.7683923705722071</v>
      </c>
      <c r="V30" s="27">
        <f t="shared" si="16"/>
        <v>4.7683923705722071</v>
      </c>
      <c r="W30" s="27">
        <f t="shared" si="17"/>
        <v>0</v>
      </c>
      <c r="X30" s="27">
        <f t="shared" si="18"/>
        <v>6.8119891008174394</v>
      </c>
      <c r="Y30" s="27">
        <f t="shared" si="19"/>
        <v>6.8119891008174394</v>
      </c>
      <c r="Z30" s="27">
        <f t="shared" si="20"/>
        <v>8.8555858310626707</v>
      </c>
      <c r="AA30" s="27">
        <f t="shared" si="21"/>
        <v>0</v>
      </c>
      <c r="AB30" s="27">
        <f t="shared" si="22"/>
        <v>34.809264305177109</v>
      </c>
      <c r="AC30" s="27">
        <f t="shared" si="23"/>
        <v>20.435967302452315</v>
      </c>
      <c r="AD30" s="27">
        <f t="shared" si="24"/>
        <v>7.6975476839237054</v>
      </c>
    </row>
    <row r="31" spans="3:30" x14ac:dyDescent="0.2">
      <c r="C31" s="63" t="s">
        <v>87</v>
      </c>
      <c r="D31" s="63" t="s">
        <v>88</v>
      </c>
      <c r="E31" s="65">
        <v>7545000</v>
      </c>
      <c r="F31" s="65">
        <v>7545000</v>
      </c>
      <c r="G31" s="64">
        <v>0</v>
      </c>
      <c r="H31" s="65">
        <v>2070000</v>
      </c>
      <c r="I31" s="64">
        <v>0</v>
      </c>
      <c r="J31" s="64">
        <v>0</v>
      </c>
      <c r="K31" s="64">
        <v>0</v>
      </c>
      <c r="L31" s="64">
        <v>0</v>
      </c>
      <c r="M31" s="65">
        <v>5475000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27">
        <f t="shared" si="13"/>
        <v>0</v>
      </c>
      <c r="T31" s="27">
        <f t="shared" si="14"/>
        <v>27.435387673956264</v>
      </c>
      <c r="U31" s="27">
        <f t="shared" si="15"/>
        <v>0</v>
      </c>
      <c r="V31" s="27">
        <f t="shared" si="16"/>
        <v>0</v>
      </c>
      <c r="W31" s="27">
        <f t="shared" si="17"/>
        <v>0</v>
      </c>
      <c r="X31" s="27">
        <f t="shared" si="18"/>
        <v>0</v>
      </c>
      <c r="Y31" s="27">
        <f t="shared" si="19"/>
        <v>72.564612326043743</v>
      </c>
      <c r="Z31" s="27">
        <f t="shared" si="20"/>
        <v>0</v>
      </c>
      <c r="AA31" s="27">
        <f t="shared" si="21"/>
        <v>0</v>
      </c>
      <c r="AB31" s="27">
        <f t="shared" si="22"/>
        <v>0</v>
      </c>
      <c r="AC31" s="27">
        <f t="shared" si="23"/>
        <v>0</v>
      </c>
      <c r="AD31" s="27">
        <f t="shared" si="24"/>
        <v>0</v>
      </c>
    </row>
    <row r="32" spans="3:30" ht="24.75" x14ac:dyDescent="0.2">
      <c r="C32" s="58">
        <v>39539</v>
      </c>
      <c r="D32" s="59" t="s">
        <v>89</v>
      </c>
      <c r="E32" s="60">
        <v>184520000</v>
      </c>
      <c r="F32" s="60">
        <v>184520000</v>
      </c>
      <c r="G32" s="62">
        <v>0</v>
      </c>
      <c r="H32" s="62">
        <v>0</v>
      </c>
      <c r="I32" s="60">
        <v>1320000</v>
      </c>
      <c r="J32" s="60">
        <v>10000000</v>
      </c>
      <c r="K32" s="60">
        <v>1500000</v>
      </c>
      <c r="L32" s="60">
        <v>4820000</v>
      </c>
      <c r="M32" s="60">
        <v>21550000</v>
      </c>
      <c r="N32" s="60">
        <v>15500000</v>
      </c>
      <c r="O32" s="60">
        <v>12350000</v>
      </c>
      <c r="P32" s="60">
        <v>41650000</v>
      </c>
      <c r="Q32" s="60">
        <v>46630000</v>
      </c>
      <c r="R32" s="60">
        <v>29200000</v>
      </c>
      <c r="S32" s="27">
        <f t="shared" si="13"/>
        <v>0</v>
      </c>
      <c r="T32" s="27">
        <f t="shared" si="14"/>
        <v>0</v>
      </c>
      <c r="U32" s="27">
        <f t="shared" si="15"/>
        <v>0.71536960763060919</v>
      </c>
      <c r="V32" s="27">
        <f t="shared" si="16"/>
        <v>5.4194667244743115</v>
      </c>
      <c r="W32" s="27">
        <f t="shared" si="17"/>
        <v>0.81292000867114678</v>
      </c>
      <c r="X32" s="27">
        <f t="shared" si="18"/>
        <v>2.6121829611966181</v>
      </c>
      <c r="Y32" s="27">
        <f t="shared" si="19"/>
        <v>11.678950791242142</v>
      </c>
      <c r="Z32" s="27">
        <f t="shared" si="20"/>
        <v>8.4001734229351843</v>
      </c>
      <c r="AA32" s="27">
        <f t="shared" si="21"/>
        <v>6.6930414047257747</v>
      </c>
      <c r="AB32" s="27">
        <f t="shared" si="22"/>
        <v>22.572078907435507</v>
      </c>
      <c r="AC32" s="27">
        <f t="shared" si="23"/>
        <v>25.270973336223719</v>
      </c>
      <c r="AD32" s="27">
        <f t="shared" si="24"/>
        <v>15.824842835464988</v>
      </c>
    </row>
    <row r="33" spans="3:30" ht="24.75" x14ac:dyDescent="0.2">
      <c r="C33" s="61" t="s">
        <v>90</v>
      </c>
      <c r="D33" s="59" t="s">
        <v>91</v>
      </c>
      <c r="E33" s="60">
        <v>104770000</v>
      </c>
      <c r="F33" s="60">
        <v>104770000</v>
      </c>
      <c r="G33" s="62">
        <v>0</v>
      </c>
      <c r="H33" s="62">
        <v>0</v>
      </c>
      <c r="I33" s="60">
        <v>1320000</v>
      </c>
      <c r="J33" s="60">
        <v>10000000</v>
      </c>
      <c r="K33" s="60">
        <v>1500000</v>
      </c>
      <c r="L33" s="60">
        <v>4820000</v>
      </c>
      <c r="M33" s="60">
        <v>16550000</v>
      </c>
      <c r="N33" s="60">
        <v>10500000</v>
      </c>
      <c r="O33" s="60">
        <v>12350000</v>
      </c>
      <c r="P33" s="60">
        <v>41650000</v>
      </c>
      <c r="Q33" s="60">
        <v>5880000</v>
      </c>
      <c r="R33" s="60">
        <v>200000</v>
      </c>
      <c r="S33" s="27">
        <f t="shared" si="13"/>
        <v>0</v>
      </c>
      <c r="T33" s="27">
        <f t="shared" si="14"/>
        <v>0</v>
      </c>
      <c r="U33" s="27">
        <f t="shared" si="15"/>
        <v>1.2599026438866088</v>
      </c>
      <c r="V33" s="27">
        <f t="shared" si="16"/>
        <v>9.5447169991409755</v>
      </c>
      <c r="W33" s="27">
        <f t="shared" si="17"/>
        <v>1.4317075498711462</v>
      </c>
      <c r="X33" s="27">
        <f t="shared" si="18"/>
        <v>4.6005535935859498</v>
      </c>
      <c r="Y33" s="27">
        <f t="shared" si="19"/>
        <v>15.796506633578314</v>
      </c>
      <c r="Z33" s="27">
        <f t="shared" si="20"/>
        <v>10.021952849098025</v>
      </c>
      <c r="AA33" s="27">
        <f t="shared" si="21"/>
        <v>11.787725493939105</v>
      </c>
      <c r="AB33" s="27">
        <f t="shared" si="22"/>
        <v>39.753746301422161</v>
      </c>
      <c r="AC33" s="27">
        <f t="shared" si="23"/>
        <v>5.6122935954948936</v>
      </c>
      <c r="AD33" s="27">
        <f t="shared" si="24"/>
        <v>0.19089433998281952</v>
      </c>
    </row>
    <row r="34" spans="3:30" ht="16.5" x14ac:dyDescent="0.2">
      <c r="C34" s="2" t="s">
        <v>92</v>
      </c>
      <c r="D34" s="59" t="s">
        <v>93</v>
      </c>
      <c r="E34" s="3">
        <v>16800000</v>
      </c>
      <c r="F34" s="3">
        <v>16800000</v>
      </c>
      <c r="G34" s="4">
        <v>0</v>
      </c>
      <c r="H34" s="4">
        <v>0</v>
      </c>
      <c r="I34" s="3">
        <v>1320000</v>
      </c>
      <c r="J34" s="4">
        <v>0</v>
      </c>
      <c r="K34" s="4">
        <v>0</v>
      </c>
      <c r="L34" s="3">
        <v>1320000</v>
      </c>
      <c r="M34" s="3">
        <v>1000000</v>
      </c>
      <c r="N34" s="3">
        <v>2000000</v>
      </c>
      <c r="O34" s="3">
        <v>2000000</v>
      </c>
      <c r="P34" s="3">
        <v>5000000</v>
      </c>
      <c r="Q34" s="3">
        <v>4160000</v>
      </c>
      <c r="R34" s="4">
        <v>0</v>
      </c>
      <c r="S34" s="27">
        <f t="shared" si="13"/>
        <v>0</v>
      </c>
      <c r="T34" s="27">
        <f t="shared" si="14"/>
        <v>0</v>
      </c>
      <c r="U34" s="27">
        <f t="shared" si="15"/>
        <v>7.8571428571428568</v>
      </c>
      <c r="V34" s="27">
        <f t="shared" si="16"/>
        <v>0</v>
      </c>
      <c r="W34" s="27">
        <f t="shared" si="17"/>
        <v>0</v>
      </c>
      <c r="X34" s="27">
        <f t="shared" si="18"/>
        <v>7.8571428571428568</v>
      </c>
      <c r="Y34" s="27">
        <f t="shared" si="19"/>
        <v>5.9523809523809517</v>
      </c>
      <c r="Z34" s="27">
        <f t="shared" si="20"/>
        <v>11.904761904761903</v>
      </c>
      <c r="AA34" s="27">
        <f t="shared" si="21"/>
        <v>11.904761904761903</v>
      </c>
      <c r="AB34" s="27">
        <f t="shared" si="22"/>
        <v>29.761904761904763</v>
      </c>
      <c r="AC34" s="27">
        <f t="shared" si="23"/>
        <v>24.761904761904763</v>
      </c>
      <c r="AD34" s="27">
        <f t="shared" si="24"/>
        <v>0</v>
      </c>
    </row>
    <row r="35" spans="3:30" ht="16.5" x14ac:dyDescent="0.2">
      <c r="C35" s="2" t="s">
        <v>94</v>
      </c>
      <c r="D35" s="59" t="s">
        <v>95</v>
      </c>
      <c r="E35" s="3">
        <v>39000000</v>
      </c>
      <c r="F35" s="3">
        <v>39000000</v>
      </c>
      <c r="G35" s="4">
        <v>0</v>
      </c>
      <c r="H35" s="4">
        <v>0</v>
      </c>
      <c r="I35" s="4">
        <v>0</v>
      </c>
      <c r="J35" s="4">
        <v>0</v>
      </c>
      <c r="K35" s="3">
        <v>1500000</v>
      </c>
      <c r="L35" s="3">
        <v>1500000</v>
      </c>
      <c r="M35" s="3">
        <v>1600000</v>
      </c>
      <c r="N35" s="3">
        <v>2500000</v>
      </c>
      <c r="O35" s="3">
        <v>1250000</v>
      </c>
      <c r="P35" s="3">
        <v>30650000</v>
      </c>
      <c r="Q35" s="4">
        <v>0</v>
      </c>
      <c r="R35" s="4">
        <v>0</v>
      </c>
      <c r="S35" s="27">
        <f t="shared" si="13"/>
        <v>0</v>
      </c>
      <c r="T35" s="27">
        <f t="shared" si="14"/>
        <v>0</v>
      </c>
      <c r="U35" s="27">
        <f t="shared" si="15"/>
        <v>0</v>
      </c>
      <c r="V35" s="27">
        <f t="shared" si="16"/>
        <v>0</v>
      </c>
      <c r="W35" s="27">
        <f t="shared" si="17"/>
        <v>3.8461538461538463</v>
      </c>
      <c r="X35" s="27">
        <f t="shared" si="18"/>
        <v>3.8461538461538463</v>
      </c>
      <c r="Y35" s="27">
        <f t="shared" si="19"/>
        <v>4.1025641025641022</v>
      </c>
      <c r="Z35" s="27">
        <f t="shared" si="20"/>
        <v>6.4102564102564097</v>
      </c>
      <c r="AA35" s="27">
        <f t="shared" si="21"/>
        <v>3.2051282051282048</v>
      </c>
      <c r="AB35" s="27">
        <f t="shared" si="22"/>
        <v>78.589743589743591</v>
      </c>
      <c r="AC35" s="27">
        <f t="shared" si="23"/>
        <v>0</v>
      </c>
      <c r="AD35" s="27">
        <f t="shared" si="24"/>
        <v>0</v>
      </c>
    </row>
    <row r="36" spans="3:30" ht="16.5" x14ac:dyDescent="0.2">
      <c r="C36" s="2" t="s">
        <v>96</v>
      </c>
      <c r="D36" s="59" t="s">
        <v>97</v>
      </c>
      <c r="E36" s="3">
        <v>48970000</v>
      </c>
      <c r="F36" s="3">
        <v>48970000</v>
      </c>
      <c r="G36" s="4">
        <v>0</v>
      </c>
      <c r="H36" s="4">
        <v>0</v>
      </c>
      <c r="I36" s="4">
        <v>0</v>
      </c>
      <c r="J36" s="3">
        <v>10000000</v>
      </c>
      <c r="K36" s="4">
        <v>0</v>
      </c>
      <c r="L36" s="3">
        <v>2000000</v>
      </c>
      <c r="M36" s="3">
        <v>13950000</v>
      </c>
      <c r="N36" s="3">
        <v>6000000</v>
      </c>
      <c r="O36" s="3">
        <v>9100000</v>
      </c>
      <c r="P36" s="3">
        <v>6000000</v>
      </c>
      <c r="Q36" s="3">
        <v>1720000</v>
      </c>
      <c r="R36" s="3">
        <v>200000</v>
      </c>
      <c r="S36" s="27">
        <f t="shared" si="13"/>
        <v>0</v>
      </c>
      <c r="T36" s="27">
        <f t="shared" si="14"/>
        <v>0</v>
      </c>
      <c r="U36" s="27">
        <f t="shared" si="15"/>
        <v>0</v>
      </c>
      <c r="V36" s="27">
        <f t="shared" si="16"/>
        <v>20.420665713702267</v>
      </c>
      <c r="W36" s="27">
        <f t="shared" si="17"/>
        <v>0</v>
      </c>
      <c r="X36" s="27">
        <f t="shared" si="18"/>
        <v>4.0841331427404528</v>
      </c>
      <c r="Y36" s="27">
        <f t="shared" si="19"/>
        <v>28.48682867061466</v>
      </c>
      <c r="Z36" s="27">
        <f t="shared" si="20"/>
        <v>12.252399428221359</v>
      </c>
      <c r="AA36" s="27">
        <f t="shared" si="21"/>
        <v>18.582805799469064</v>
      </c>
      <c r="AB36" s="27">
        <f t="shared" si="22"/>
        <v>12.252399428221359</v>
      </c>
      <c r="AC36" s="27">
        <f t="shared" si="23"/>
        <v>3.5123545027567897</v>
      </c>
      <c r="AD36" s="27">
        <f t="shared" si="24"/>
        <v>0.40841331427404531</v>
      </c>
    </row>
    <row r="37" spans="3:30" ht="24.75" x14ac:dyDescent="0.2">
      <c r="C37" s="61" t="s">
        <v>98</v>
      </c>
      <c r="D37" s="59" t="s">
        <v>99</v>
      </c>
      <c r="E37" s="60">
        <v>79750000</v>
      </c>
      <c r="F37" s="60">
        <v>79750000</v>
      </c>
      <c r="G37" s="62">
        <v>0</v>
      </c>
      <c r="H37" s="62">
        <v>0</v>
      </c>
      <c r="I37" s="62">
        <v>0</v>
      </c>
      <c r="J37" s="62">
        <v>0</v>
      </c>
      <c r="K37" s="62">
        <v>0</v>
      </c>
      <c r="L37" s="62">
        <v>0</v>
      </c>
      <c r="M37" s="60">
        <v>5000000</v>
      </c>
      <c r="N37" s="60">
        <v>5000000</v>
      </c>
      <c r="O37" s="62">
        <v>0</v>
      </c>
      <c r="P37" s="62">
        <v>0</v>
      </c>
      <c r="Q37" s="60">
        <v>40750000</v>
      </c>
      <c r="R37" s="60">
        <v>29000000</v>
      </c>
      <c r="S37" s="27">
        <f t="shared" si="13"/>
        <v>0</v>
      </c>
      <c r="T37" s="27">
        <f t="shared" si="14"/>
        <v>0</v>
      </c>
      <c r="U37" s="27">
        <f t="shared" si="15"/>
        <v>0</v>
      </c>
      <c r="V37" s="27">
        <f t="shared" si="16"/>
        <v>0</v>
      </c>
      <c r="W37" s="27">
        <f t="shared" si="17"/>
        <v>0</v>
      </c>
      <c r="X37" s="27">
        <f t="shared" si="18"/>
        <v>0</v>
      </c>
      <c r="Y37" s="27">
        <f t="shared" si="19"/>
        <v>6.2695924764890272</v>
      </c>
      <c r="Z37" s="27">
        <f t="shared" si="20"/>
        <v>6.2695924764890272</v>
      </c>
      <c r="AA37" s="27">
        <f t="shared" si="21"/>
        <v>0</v>
      </c>
      <c r="AB37" s="27">
        <f t="shared" si="22"/>
        <v>0</v>
      </c>
      <c r="AC37" s="27">
        <f t="shared" si="23"/>
        <v>51.097178683385579</v>
      </c>
      <c r="AD37" s="27">
        <f t="shared" si="24"/>
        <v>36.363636363636367</v>
      </c>
    </row>
    <row r="38" spans="3:30" x14ac:dyDescent="0.2">
      <c r="C38" s="63" t="s">
        <v>100</v>
      </c>
      <c r="D38" s="63" t="s">
        <v>101</v>
      </c>
      <c r="E38" s="65">
        <v>40850000</v>
      </c>
      <c r="F38" s="65">
        <v>40850000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5">
        <v>15450000</v>
      </c>
      <c r="R38" s="65">
        <v>25400000</v>
      </c>
      <c r="S38" s="27">
        <f t="shared" si="13"/>
        <v>0</v>
      </c>
      <c r="T38" s="27">
        <f t="shared" si="14"/>
        <v>0</v>
      </c>
      <c r="U38" s="27">
        <f t="shared" si="15"/>
        <v>0</v>
      </c>
      <c r="V38" s="27">
        <f t="shared" si="16"/>
        <v>0</v>
      </c>
      <c r="W38" s="27">
        <f t="shared" si="17"/>
        <v>0</v>
      </c>
      <c r="X38" s="27">
        <f t="shared" si="18"/>
        <v>0</v>
      </c>
      <c r="Y38" s="27">
        <f t="shared" si="19"/>
        <v>0</v>
      </c>
      <c r="Z38" s="27">
        <f t="shared" si="20"/>
        <v>0</v>
      </c>
      <c r="AA38" s="27">
        <f t="shared" si="21"/>
        <v>0</v>
      </c>
      <c r="AB38" s="27">
        <f t="shared" si="22"/>
        <v>0</v>
      </c>
      <c r="AC38" s="27">
        <f t="shared" si="23"/>
        <v>37.821297429620564</v>
      </c>
      <c r="AD38" s="27">
        <f t="shared" si="24"/>
        <v>62.178702570379443</v>
      </c>
    </row>
    <row r="39" spans="3:30" x14ac:dyDescent="0.2">
      <c r="C39" s="63" t="s">
        <v>102</v>
      </c>
      <c r="D39" s="63" t="s">
        <v>103</v>
      </c>
      <c r="E39" s="65">
        <v>25200000</v>
      </c>
      <c r="F39" s="65">
        <v>25200000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5">
        <v>5000000</v>
      </c>
      <c r="N39" s="65">
        <v>5000000</v>
      </c>
      <c r="O39" s="64">
        <v>0</v>
      </c>
      <c r="P39" s="64">
        <v>0</v>
      </c>
      <c r="Q39" s="65">
        <v>15200000</v>
      </c>
      <c r="R39" s="64">
        <v>0</v>
      </c>
      <c r="S39" s="27">
        <f t="shared" si="13"/>
        <v>0</v>
      </c>
      <c r="T39" s="27">
        <f t="shared" si="14"/>
        <v>0</v>
      </c>
      <c r="U39" s="27">
        <f t="shared" si="15"/>
        <v>0</v>
      </c>
      <c r="V39" s="27">
        <f t="shared" si="16"/>
        <v>0</v>
      </c>
      <c r="W39" s="27">
        <f t="shared" si="17"/>
        <v>0</v>
      </c>
      <c r="X39" s="27">
        <f t="shared" si="18"/>
        <v>0</v>
      </c>
      <c r="Y39" s="27">
        <f t="shared" si="19"/>
        <v>19.841269841269842</v>
      </c>
      <c r="Z39" s="27">
        <f t="shared" si="20"/>
        <v>19.841269841269842</v>
      </c>
      <c r="AA39" s="27">
        <f t="shared" si="21"/>
        <v>0</v>
      </c>
      <c r="AB39" s="27">
        <f t="shared" si="22"/>
        <v>0</v>
      </c>
      <c r="AC39" s="27">
        <f t="shared" si="23"/>
        <v>60.317460317460316</v>
      </c>
      <c r="AD39" s="27">
        <f t="shared" si="24"/>
        <v>0</v>
      </c>
    </row>
    <row r="40" spans="3:30" ht="16.5" x14ac:dyDescent="0.2">
      <c r="C40" s="2" t="s">
        <v>104</v>
      </c>
      <c r="D40" s="59" t="s">
        <v>105</v>
      </c>
      <c r="E40" s="3">
        <v>13700000</v>
      </c>
      <c r="F40" s="3">
        <v>13700000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3">
        <v>10100000</v>
      </c>
      <c r="R40" s="3">
        <v>3600000</v>
      </c>
      <c r="S40" s="27">
        <f t="shared" si="13"/>
        <v>0</v>
      </c>
      <c r="T40" s="27">
        <f t="shared" si="14"/>
        <v>0</v>
      </c>
      <c r="U40" s="27">
        <f t="shared" si="15"/>
        <v>0</v>
      </c>
      <c r="V40" s="27">
        <f t="shared" si="16"/>
        <v>0</v>
      </c>
      <c r="W40" s="27">
        <f t="shared" si="17"/>
        <v>0</v>
      </c>
      <c r="X40" s="27">
        <f t="shared" si="18"/>
        <v>0</v>
      </c>
      <c r="Y40" s="27">
        <f t="shared" si="19"/>
        <v>0</v>
      </c>
      <c r="Z40" s="27">
        <f t="shared" si="20"/>
        <v>0</v>
      </c>
      <c r="AA40" s="27">
        <f t="shared" si="21"/>
        <v>0</v>
      </c>
      <c r="AB40" s="27">
        <f t="shared" si="22"/>
        <v>0</v>
      </c>
      <c r="AC40" s="27">
        <f t="shared" si="23"/>
        <v>73.722627737226276</v>
      </c>
      <c r="AD40" s="27">
        <f t="shared" si="24"/>
        <v>26.277372262773724</v>
      </c>
    </row>
  </sheetData>
  <mergeCells count="21">
    <mergeCell ref="B3:B5"/>
    <mergeCell ref="B1:R1"/>
    <mergeCell ref="A3:A5"/>
    <mergeCell ref="G2:R2"/>
    <mergeCell ref="S2:AD2"/>
    <mergeCell ref="S3:X3"/>
    <mergeCell ref="Y3:AD3"/>
    <mergeCell ref="S4:U4"/>
    <mergeCell ref="V4:X4"/>
    <mergeCell ref="Y4:AA4"/>
    <mergeCell ref="AB4:AD4"/>
    <mergeCell ref="C3:C5"/>
    <mergeCell ref="D3:D5"/>
    <mergeCell ref="E3:E5"/>
    <mergeCell ref="F3:F5"/>
    <mergeCell ref="G3:L3"/>
    <mergeCell ref="M3:R3"/>
    <mergeCell ref="G4:I4"/>
    <mergeCell ref="J4:L4"/>
    <mergeCell ref="M4:O4"/>
    <mergeCell ref="P4:R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tabSelected="1" topLeftCell="H1" zoomScale="175" zoomScaleNormal="175" workbookViewId="0">
      <selection activeCell="S6" sqref="S6:AD40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12.6" customHeight="1" x14ac:dyDescent="0.2">
      <c r="B1" s="49" t="s">
        <v>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  <c r="S1" s="10"/>
    </row>
    <row r="2" spans="1:30" ht="12.6" customHeight="1" x14ac:dyDescent="0.2">
      <c r="B2" s="26"/>
      <c r="C2" s="26"/>
      <c r="D2" s="26"/>
      <c r="E2" s="26"/>
      <c r="F2" s="26"/>
      <c r="G2" s="51" t="s">
        <v>28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2"/>
      <c r="S2" s="51" t="s">
        <v>29</v>
      </c>
      <c r="T2" s="51"/>
      <c r="U2" s="51"/>
      <c r="V2" s="51"/>
      <c r="W2" s="51"/>
      <c r="X2" s="51"/>
      <c r="Y2" s="51"/>
      <c r="Z2" s="51"/>
      <c r="AA2" s="51"/>
      <c r="AB2" s="51"/>
      <c r="AC2" s="51"/>
      <c r="AD2" s="52"/>
    </row>
    <row r="3" spans="1:30" s="5" customFormat="1" ht="13.35" customHeight="1" x14ac:dyDescent="0.2">
      <c r="A3" s="23" t="s">
        <v>27</v>
      </c>
      <c r="B3" s="23" t="s">
        <v>3</v>
      </c>
      <c r="C3" s="18"/>
      <c r="D3" s="20"/>
      <c r="E3" s="20"/>
      <c r="F3" s="20"/>
      <c r="G3" s="12" t="s">
        <v>10</v>
      </c>
      <c r="H3" s="13"/>
      <c r="I3" s="14"/>
      <c r="J3" s="12" t="s">
        <v>11</v>
      </c>
      <c r="K3" s="13"/>
      <c r="L3" s="14"/>
      <c r="M3" s="12" t="s">
        <v>12</v>
      </c>
      <c r="N3" s="13"/>
      <c r="O3" s="14"/>
      <c r="P3" s="12" t="s">
        <v>13</v>
      </c>
      <c r="Q3" s="13"/>
      <c r="R3" s="14"/>
      <c r="S3" s="12" t="s">
        <v>10</v>
      </c>
      <c r="T3" s="13"/>
      <c r="U3" s="14"/>
      <c r="V3" s="12" t="s">
        <v>11</v>
      </c>
      <c r="W3" s="13"/>
      <c r="X3" s="14"/>
      <c r="Y3" s="12" t="s">
        <v>12</v>
      </c>
      <c r="Z3" s="13"/>
      <c r="AA3" s="14"/>
      <c r="AB3" s="12" t="s">
        <v>13</v>
      </c>
      <c r="AC3" s="13"/>
      <c r="AD3" s="14"/>
    </row>
    <row r="4" spans="1:30" s="5" customFormat="1" ht="12.6" customHeight="1" x14ac:dyDescent="0.2">
      <c r="A4" s="23"/>
      <c r="B4" s="23"/>
      <c r="C4" s="19"/>
      <c r="D4" s="21"/>
      <c r="E4" s="21"/>
      <c r="F4" s="21"/>
      <c r="G4" s="6" t="s">
        <v>14</v>
      </c>
      <c r="H4" s="7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7" t="s">
        <v>21</v>
      </c>
      <c r="O4" s="7" t="s">
        <v>22</v>
      </c>
      <c r="P4" s="7" t="s">
        <v>23</v>
      </c>
      <c r="Q4" s="7" t="s">
        <v>24</v>
      </c>
      <c r="R4" s="7" t="s">
        <v>25</v>
      </c>
      <c r="S4" s="6" t="s">
        <v>14</v>
      </c>
      <c r="T4" s="7" t="s">
        <v>15</v>
      </c>
      <c r="U4" s="6" t="s">
        <v>16</v>
      </c>
      <c r="V4" s="6" t="s">
        <v>17</v>
      </c>
      <c r="W4" s="6" t="s">
        <v>18</v>
      </c>
      <c r="X4" s="6" t="s">
        <v>19</v>
      </c>
      <c r="Y4" s="6" t="s">
        <v>20</v>
      </c>
      <c r="Z4" s="7" t="s">
        <v>21</v>
      </c>
      <c r="AA4" s="7" t="s">
        <v>22</v>
      </c>
      <c r="AB4" s="7" t="s">
        <v>23</v>
      </c>
      <c r="AC4" s="7" t="s">
        <v>24</v>
      </c>
      <c r="AD4" s="7" t="s">
        <v>25</v>
      </c>
    </row>
    <row r="5" spans="1:30" s="5" customFormat="1" ht="22.5" customHeight="1" x14ac:dyDescent="0.2">
      <c r="A5" s="23"/>
      <c r="B5" s="23"/>
      <c r="C5" s="24" t="s">
        <v>26</v>
      </c>
      <c r="D5" s="25"/>
      <c r="E5" s="8">
        <v>178160044215</v>
      </c>
      <c r="F5" s="9">
        <v>178160044215</v>
      </c>
      <c r="G5" s="15">
        <v>40264011333</v>
      </c>
      <c r="H5" s="16"/>
      <c r="I5" s="17"/>
      <c r="J5" s="15">
        <v>43623033473</v>
      </c>
      <c r="K5" s="16"/>
      <c r="L5" s="17"/>
      <c r="M5" s="15">
        <v>34541452721</v>
      </c>
      <c r="N5" s="16"/>
      <c r="O5" s="17"/>
      <c r="P5" s="15">
        <v>59731546688</v>
      </c>
      <c r="Q5" s="16"/>
      <c r="R5" s="17"/>
      <c r="S5" s="28" t="s">
        <v>31</v>
      </c>
      <c r="T5" s="28" t="s">
        <v>30</v>
      </c>
      <c r="U5" s="28" t="s">
        <v>32</v>
      </c>
      <c r="V5" s="28" t="s">
        <v>17</v>
      </c>
      <c r="W5" s="28" t="s">
        <v>33</v>
      </c>
      <c r="X5" s="28" t="s">
        <v>34</v>
      </c>
      <c r="Y5" s="28" t="s">
        <v>35</v>
      </c>
      <c r="Z5" s="28" t="s">
        <v>36</v>
      </c>
      <c r="AA5" s="28" t="s">
        <v>22</v>
      </c>
      <c r="AB5" s="28" t="s">
        <v>37</v>
      </c>
      <c r="AC5" s="28" t="s">
        <v>24</v>
      </c>
      <c r="AD5" s="28" t="s">
        <v>38</v>
      </c>
    </row>
    <row r="6" spans="1:30" x14ac:dyDescent="0.2">
      <c r="B6" s="22"/>
      <c r="S6" s="27" t="e">
        <f>G6/$E6*100</f>
        <v>#DIV/0!</v>
      </c>
      <c r="T6" s="27" t="e">
        <f t="shared" ref="T6:AD6" si="0">H6/$E6*100</f>
        <v>#DIV/0!</v>
      </c>
      <c r="U6" s="27" t="e">
        <f t="shared" si="0"/>
        <v>#DIV/0!</v>
      </c>
      <c r="V6" s="27" t="e">
        <f t="shared" si="0"/>
        <v>#DIV/0!</v>
      </c>
      <c r="W6" s="27" t="e">
        <f t="shared" si="0"/>
        <v>#DIV/0!</v>
      </c>
      <c r="X6" s="27" t="e">
        <f t="shared" si="0"/>
        <v>#DIV/0!</v>
      </c>
      <c r="Y6" s="27" t="e">
        <f t="shared" si="0"/>
        <v>#DIV/0!</v>
      </c>
      <c r="Z6" s="27" t="e">
        <f t="shared" si="0"/>
        <v>#DIV/0!</v>
      </c>
      <c r="AA6" s="27" t="e">
        <f t="shared" si="0"/>
        <v>#DIV/0!</v>
      </c>
      <c r="AB6" s="27" t="e">
        <f t="shared" si="0"/>
        <v>#DIV/0!</v>
      </c>
      <c r="AC6" s="27" t="e">
        <f t="shared" si="0"/>
        <v>#DIV/0!</v>
      </c>
      <c r="AD6" s="27" t="e">
        <f t="shared" si="0"/>
        <v>#DIV/0!</v>
      </c>
    </row>
    <row r="7" spans="1:30" x14ac:dyDescent="0.2">
      <c r="S7" s="27" t="e">
        <f t="shared" ref="S7:S9" si="1">G7/$E7*100</f>
        <v>#DIV/0!</v>
      </c>
      <c r="T7" s="27" t="e">
        <f t="shared" ref="T7:T9" si="2">H7/$E7*100</f>
        <v>#DIV/0!</v>
      </c>
      <c r="U7" s="27" t="e">
        <f t="shared" ref="U7:U9" si="3">I7/$E7*100</f>
        <v>#DIV/0!</v>
      </c>
      <c r="V7" s="27" t="e">
        <f t="shared" ref="V7:V9" si="4">J7/$E7*100</f>
        <v>#DIV/0!</v>
      </c>
      <c r="W7" s="27" t="e">
        <f t="shared" ref="W7:W9" si="5">K7/$E7*100</f>
        <v>#DIV/0!</v>
      </c>
      <c r="X7" s="27" t="e">
        <f t="shared" ref="X7:X9" si="6">L7/$E7*100</f>
        <v>#DIV/0!</v>
      </c>
      <c r="Y7" s="27" t="e">
        <f t="shared" ref="Y7:Y9" si="7">M7/$E7*100</f>
        <v>#DIV/0!</v>
      </c>
      <c r="Z7" s="27" t="e">
        <f t="shared" ref="Z7:Z9" si="8">N7/$E7*100</f>
        <v>#DIV/0!</v>
      </c>
      <c r="AA7" s="27" t="e">
        <f t="shared" ref="AA7:AA9" si="9">O7/$E7*100</f>
        <v>#DIV/0!</v>
      </c>
      <c r="AB7" s="27" t="e">
        <f t="shared" ref="AB7:AB9" si="10">P7/$E7*100</f>
        <v>#DIV/0!</v>
      </c>
      <c r="AC7" s="27" t="e">
        <f t="shared" ref="AC7:AC9" si="11">Q7/$E7*100</f>
        <v>#DIV/0!</v>
      </c>
      <c r="AD7" s="27" t="e">
        <f t="shared" ref="AD7:AD9" si="12">R7/$E7*100</f>
        <v>#DIV/0!</v>
      </c>
    </row>
    <row r="8" spans="1:30" x14ac:dyDescent="0.2">
      <c r="S8" s="27" t="e">
        <f t="shared" si="1"/>
        <v>#DIV/0!</v>
      </c>
      <c r="T8" s="27" t="e">
        <f t="shared" si="2"/>
        <v>#DIV/0!</v>
      </c>
      <c r="U8" s="27" t="e">
        <f t="shared" si="3"/>
        <v>#DIV/0!</v>
      </c>
      <c r="V8" s="27" t="e">
        <f t="shared" si="4"/>
        <v>#DIV/0!</v>
      </c>
      <c r="W8" s="27" t="e">
        <f t="shared" si="5"/>
        <v>#DIV/0!</v>
      </c>
      <c r="X8" s="27" t="e">
        <f t="shared" si="6"/>
        <v>#DIV/0!</v>
      </c>
      <c r="Y8" s="27" t="e">
        <f t="shared" si="7"/>
        <v>#DIV/0!</v>
      </c>
      <c r="Z8" s="27" t="e">
        <f t="shared" si="8"/>
        <v>#DIV/0!</v>
      </c>
      <c r="AA8" s="27" t="e">
        <f t="shared" si="9"/>
        <v>#DIV/0!</v>
      </c>
      <c r="AB8" s="27" t="e">
        <f t="shared" si="10"/>
        <v>#DIV/0!</v>
      </c>
      <c r="AC8" s="27" t="e">
        <f t="shared" si="11"/>
        <v>#DIV/0!</v>
      </c>
      <c r="AD8" s="27" t="e">
        <f t="shared" si="12"/>
        <v>#DIV/0!</v>
      </c>
    </row>
    <row r="9" spans="1:30" x14ac:dyDescent="0.2">
      <c r="S9" s="27" t="e">
        <f t="shared" si="1"/>
        <v>#DIV/0!</v>
      </c>
      <c r="T9" s="27" t="e">
        <f t="shared" si="2"/>
        <v>#DIV/0!</v>
      </c>
      <c r="U9" s="27" t="e">
        <f t="shared" si="3"/>
        <v>#DIV/0!</v>
      </c>
      <c r="V9" s="27" t="e">
        <f t="shared" si="4"/>
        <v>#DIV/0!</v>
      </c>
      <c r="W9" s="27" t="e">
        <f t="shared" si="5"/>
        <v>#DIV/0!</v>
      </c>
      <c r="X9" s="27" t="e">
        <f t="shared" si="6"/>
        <v>#DIV/0!</v>
      </c>
      <c r="Y9" s="27" t="e">
        <f t="shared" si="7"/>
        <v>#DIV/0!</v>
      </c>
      <c r="Z9" s="27" t="e">
        <f t="shared" si="8"/>
        <v>#DIV/0!</v>
      </c>
      <c r="AA9" s="27" t="e">
        <f t="shared" si="9"/>
        <v>#DIV/0!</v>
      </c>
      <c r="AB9" s="27" t="e">
        <f t="shared" si="10"/>
        <v>#DIV/0!</v>
      </c>
      <c r="AC9" s="27" t="e">
        <f t="shared" si="11"/>
        <v>#DIV/0!</v>
      </c>
      <c r="AD9" s="27" t="e">
        <f t="shared" si="12"/>
        <v>#DIV/0!</v>
      </c>
    </row>
    <row r="10" spans="1:30" x14ac:dyDescent="0.2">
      <c r="S10" s="27" t="e">
        <f t="shared" ref="S10:S40" si="13">G10/$E10*100</f>
        <v>#DIV/0!</v>
      </c>
      <c r="T10" s="27" t="e">
        <f t="shared" ref="T10:T40" si="14">H10/$E10*100</f>
        <v>#DIV/0!</v>
      </c>
      <c r="U10" s="27" t="e">
        <f t="shared" ref="U10:U40" si="15">I10/$E10*100</f>
        <v>#DIV/0!</v>
      </c>
      <c r="V10" s="27" t="e">
        <f t="shared" ref="V10:V40" si="16">J10/$E10*100</f>
        <v>#DIV/0!</v>
      </c>
      <c r="W10" s="27" t="e">
        <f t="shared" ref="W10:W40" si="17">K10/$E10*100</f>
        <v>#DIV/0!</v>
      </c>
      <c r="X10" s="27" t="e">
        <f t="shared" ref="X10:X40" si="18">L10/$E10*100</f>
        <v>#DIV/0!</v>
      </c>
      <c r="Y10" s="27" t="e">
        <f t="shared" ref="Y10:Y40" si="19">M10/$E10*100</f>
        <v>#DIV/0!</v>
      </c>
      <c r="Z10" s="27" t="e">
        <f t="shared" ref="Z10:Z40" si="20">N10/$E10*100</f>
        <v>#DIV/0!</v>
      </c>
      <c r="AA10" s="27" t="e">
        <f t="shared" ref="AA10:AA40" si="21">O10/$E10*100</f>
        <v>#DIV/0!</v>
      </c>
      <c r="AB10" s="27" t="e">
        <f t="shared" ref="AB10:AB40" si="22">P10/$E10*100</f>
        <v>#DIV/0!</v>
      </c>
      <c r="AC10" s="27" t="e">
        <f t="shared" ref="AC10:AC40" si="23">Q10/$E10*100</f>
        <v>#DIV/0!</v>
      </c>
      <c r="AD10" s="27" t="e">
        <f t="shared" ref="AD10:AD40" si="24">R10/$E10*100</f>
        <v>#DIV/0!</v>
      </c>
    </row>
    <row r="11" spans="1:30" x14ac:dyDescent="0.2">
      <c r="S11" s="27" t="e">
        <f t="shared" si="13"/>
        <v>#DIV/0!</v>
      </c>
      <c r="T11" s="27" t="e">
        <f t="shared" si="14"/>
        <v>#DIV/0!</v>
      </c>
      <c r="U11" s="27" t="e">
        <f t="shared" si="15"/>
        <v>#DIV/0!</v>
      </c>
      <c r="V11" s="27" t="e">
        <f t="shared" si="16"/>
        <v>#DIV/0!</v>
      </c>
      <c r="W11" s="27" t="e">
        <f t="shared" si="17"/>
        <v>#DIV/0!</v>
      </c>
      <c r="X11" s="27" t="e">
        <f t="shared" si="18"/>
        <v>#DIV/0!</v>
      </c>
      <c r="Y11" s="27" t="e">
        <f t="shared" si="19"/>
        <v>#DIV/0!</v>
      </c>
      <c r="Z11" s="27" t="e">
        <f t="shared" si="20"/>
        <v>#DIV/0!</v>
      </c>
      <c r="AA11" s="27" t="e">
        <f t="shared" si="21"/>
        <v>#DIV/0!</v>
      </c>
      <c r="AB11" s="27" t="e">
        <f t="shared" si="22"/>
        <v>#DIV/0!</v>
      </c>
      <c r="AC11" s="27" t="e">
        <f t="shared" si="23"/>
        <v>#DIV/0!</v>
      </c>
      <c r="AD11" s="27" t="e">
        <f t="shared" si="24"/>
        <v>#DIV/0!</v>
      </c>
    </row>
    <row r="12" spans="1:30" x14ac:dyDescent="0.2">
      <c r="S12" s="27" t="e">
        <f t="shared" si="13"/>
        <v>#DIV/0!</v>
      </c>
      <c r="T12" s="27" t="e">
        <f t="shared" si="14"/>
        <v>#DIV/0!</v>
      </c>
      <c r="U12" s="27" t="e">
        <f t="shared" si="15"/>
        <v>#DIV/0!</v>
      </c>
      <c r="V12" s="27" t="e">
        <f t="shared" si="16"/>
        <v>#DIV/0!</v>
      </c>
      <c r="W12" s="27" t="e">
        <f t="shared" si="17"/>
        <v>#DIV/0!</v>
      </c>
      <c r="X12" s="27" t="e">
        <f t="shared" si="18"/>
        <v>#DIV/0!</v>
      </c>
      <c r="Y12" s="27" t="e">
        <f t="shared" si="19"/>
        <v>#DIV/0!</v>
      </c>
      <c r="Z12" s="27" t="e">
        <f t="shared" si="20"/>
        <v>#DIV/0!</v>
      </c>
      <c r="AA12" s="27" t="e">
        <f t="shared" si="21"/>
        <v>#DIV/0!</v>
      </c>
      <c r="AB12" s="27" t="e">
        <f t="shared" si="22"/>
        <v>#DIV/0!</v>
      </c>
      <c r="AC12" s="27" t="e">
        <f t="shared" si="23"/>
        <v>#DIV/0!</v>
      </c>
      <c r="AD12" s="27" t="e">
        <f t="shared" si="24"/>
        <v>#DIV/0!</v>
      </c>
    </row>
    <row r="13" spans="1:30" x14ac:dyDescent="0.2">
      <c r="S13" s="27" t="e">
        <f t="shared" si="13"/>
        <v>#DIV/0!</v>
      </c>
      <c r="T13" s="27" t="e">
        <f t="shared" si="14"/>
        <v>#DIV/0!</v>
      </c>
      <c r="U13" s="27" t="e">
        <f t="shared" si="15"/>
        <v>#DIV/0!</v>
      </c>
      <c r="V13" s="27" t="e">
        <f t="shared" si="16"/>
        <v>#DIV/0!</v>
      </c>
      <c r="W13" s="27" t="e">
        <f t="shared" si="17"/>
        <v>#DIV/0!</v>
      </c>
      <c r="X13" s="27" t="e">
        <f t="shared" si="18"/>
        <v>#DIV/0!</v>
      </c>
      <c r="Y13" s="27" t="e">
        <f t="shared" si="19"/>
        <v>#DIV/0!</v>
      </c>
      <c r="Z13" s="27" t="e">
        <f t="shared" si="20"/>
        <v>#DIV/0!</v>
      </c>
      <c r="AA13" s="27" t="e">
        <f t="shared" si="21"/>
        <v>#DIV/0!</v>
      </c>
      <c r="AB13" s="27" t="e">
        <f t="shared" si="22"/>
        <v>#DIV/0!</v>
      </c>
      <c r="AC13" s="27" t="e">
        <f t="shared" si="23"/>
        <v>#DIV/0!</v>
      </c>
      <c r="AD13" s="27" t="e">
        <f t="shared" si="24"/>
        <v>#DIV/0!</v>
      </c>
    </row>
    <row r="14" spans="1:30" x14ac:dyDescent="0.2">
      <c r="S14" s="27" t="e">
        <f t="shared" si="13"/>
        <v>#DIV/0!</v>
      </c>
      <c r="T14" s="27" t="e">
        <f t="shared" si="14"/>
        <v>#DIV/0!</v>
      </c>
      <c r="U14" s="27" t="e">
        <f t="shared" si="15"/>
        <v>#DIV/0!</v>
      </c>
      <c r="V14" s="27" t="e">
        <f t="shared" si="16"/>
        <v>#DIV/0!</v>
      </c>
      <c r="W14" s="27" t="e">
        <f t="shared" si="17"/>
        <v>#DIV/0!</v>
      </c>
      <c r="X14" s="27" t="e">
        <f t="shared" si="18"/>
        <v>#DIV/0!</v>
      </c>
      <c r="Y14" s="27" t="e">
        <f t="shared" si="19"/>
        <v>#DIV/0!</v>
      </c>
      <c r="Z14" s="27" t="e">
        <f t="shared" si="20"/>
        <v>#DIV/0!</v>
      </c>
      <c r="AA14" s="27" t="e">
        <f t="shared" si="21"/>
        <v>#DIV/0!</v>
      </c>
      <c r="AB14" s="27" t="e">
        <f t="shared" si="22"/>
        <v>#DIV/0!</v>
      </c>
      <c r="AC14" s="27" t="e">
        <f t="shared" si="23"/>
        <v>#DIV/0!</v>
      </c>
      <c r="AD14" s="27" t="e">
        <f t="shared" si="24"/>
        <v>#DIV/0!</v>
      </c>
    </row>
    <row r="15" spans="1:30" x14ac:dyDescent="0.2">
      <c r="S15" s="27" t="e">
        <f t="shared" si="13"/>
        <v>#DIV/0!</v>
      </c>
      <c r="T15" s="27" t="e">
        <f t="shared" si="14"/>
        <v>#DIV/0!</v>
      </c>
      <c r="U15" s="27" t="e">
        <f t="shared" si="15"/>
        <v>#DIV/0!</v>
      </c>
      <c r="V15" s="27" t="e">
        <f t="shared" si="16"/>
        <v>#DIV/0!</v>
      </c>
      <c r="W15" s="27" t="e">
        <f t="shared" si="17"/>
        <v>#DIV/0!</v>
      </c>
      <c r="X15" s="27" t="e">
        <f t="shared" si="18"/>
        <v>#DIV/0!</v>
      </c>
      <c r="Y15" s="27" t="e">
        <f t="shared" si="19"/>
        <v>#DIV/0!</v>
      </c>
      <c r="Z15" s="27" t="e">
        <f t="shared" si="20"/>
        <v>#DIV/0!</v>
      </c>
      <c r="AA15" s="27" t="e">
        <f t="shared" si="21"/>
        <v>#DIV/0!</v>
      </c>
      <c r="AB15" s="27" t="e">
        <f t="shared" si="22"/>
        <v>#DIV/0!</v>
      </c>
      <c r="AC15" s="27" t="e">
        <f t="shared" si="23"/>
        <v>#DIV/0!</v>
      </c>
      <c r="AD15" s="27" t="e">
        <f t="shared" si="24"/>
        <v>#DIV/0!</v>
      </c>
    </row>
    <row r="16" spans="1:30" x14ac:dyDescent="0.2">
      <c r="S16" s="27" t="e">
        <f t="shared" si="13"/>
        <v>#DIV/0!</v>
      </c>
      <c r="T16" s="27" t="e">
        <f t="shared" si="14"/>
        <v>#DIV/0!</v>
      </c>
      <c r="U16" s="27" t="e">
        <f t="shared" si="15"/>
        <v>#DIV/0!</v>
      </c>
      <c r="V16" s="27" t="e">
        <f t="shared" si="16"/>
        <v>#DIV/0!</v>
      </c>
      <c r="W16" s="27" t="e">
        <f t="shared" si="17"/>
        <v>#DIV/0!</v>
      </c>
      <c r="X16" s="27" t="e">
        <f t="shared" si="18"/>
        <v>#DIV/0!</v>
      </c>
      <c r="Y16" s="27" t="e">
        <f t="shared" si="19"/>
        <v>#DIV/0!</v>
      </c>
      <c r="Z16" s="27" t="e">
        <f t="shared" si="20"/>
        <v>#DIV/0!</v>
      </c>
      <c r="AA16" s="27" t="e">
        <f t="shared" si="21"/>
        <v>#DIV/0!</v>
      </c>
      <c r="AB16" s="27" t="e">
        <f t="shared" si="22"/>
        <v>#DIV/0!</v>
      </c>
      <c r="AC16" s="27" t="e">
        <f t="shared" si="23"/>
        <v>#DIV/0!</v>
      </c>
      <c r="AD16" s="27" t="e">
        <f t="shared" si="24"/>
        <v>#DIV/0!</v>
      </c>
    </row>
    <row r="17" spans="19:30" x14ac:dyDescent="0.2">
      <c r="S17" s="27" t="e">
        <f t="shared" si="13"/>
        <v>#DIV/0!</v>
      </c>
      <c r="T17" s="27" t="e">
        <f t="shared" si="14"/>
        <v>#DIV/0!</v>
      </c>
      <c r="U17" s="27" t="e">
        <f t="shared" si="15"/>
        <v>#DIV/0!</v>
      </c>
      <c r="V17" s="27" t="e">
        <f t="shared" si="16"/>
        <v>#DIV/0!</v>
      </c>
      <c r="W17" s="27" t="e">
        <f t="shared" si="17"/>
        <v>#DIV/0!</v>
      </c>
      <c r="X17" s="27" t="e">
        <f t="shared" si="18"/>
        <v>#DIV/0!</v>
      </c>
      <c r="Y17" s="27" t="e">
        <f t="shared" si="19"/>
        <v>#DIV/0!</v>
      </c>
      <c r="Z17" s="27" t="e">
        <f t="shared" si="20"/>
        <v>#DIV/0!</v>
      </c>
      <c r="AA17" s="27" t="e">
        <f t="shared" si="21"/>
        <v>#DIV/0!</v>
      </c>
      <c r="AB17" s="27" t="e">
        <f t="shared" si="22"/>
        <v>#DIV/0!</v>
      </c>
      <c r="AC17" s="27" t="e">
        <f t="shared" si="23"/>
        <v>#DIV/0!</v>
      </c>
      <c r="AD17" s="27" t="e">
        <f t="shared" si="24"/>
        <v>#DIV/0!</v>
      </c>
    </row>
    <row r="18" spans="19:30" x14ac:dyDescent="0.2">
      <c r="S18" s="27" t="e">
        <f t="shared" si="13"/>
        <v>#DIV/0!</v>
      </c>
      <c r="T18" s="27" t="e">
        <f t="shared" si="14"/>
        <v>#DIV/0!</v>
      </c>
      <c r="U18" s="27" t="e">
        <f t="shared" si="15"/>
        <v>#DIV/0!</v>
      </c>
      <c r="V18" s="27" t="e">
        <f t="shared" si="16"/>
        <v>#DIV/0!</v>
      </c>
      <c r="W18" s="27" t="e">
        <f t="shared" si="17"/>
        <v>#DIV/0!</v>
      </c>
      <c r="X18" s="27" t="e">
        <f t="shared" si="18"/>
        <v>#DIV/0!</v>
      </c>
      <c r="Y18" s="27" t="e">
        <f t="shared" si="19"/>
        <v>#DIV/0!</v>
      </c>
      <c r="Z18" s="27" t="e">
        <f t="shared" si="20"/>
        <v>#DIV/0!</v>
      </c>
      <c r="AA18" s="27" t="e">
        <f t="shared" si="21"/>
        <v>#DIV/0!</v>
      </c>
      <c r="AB18" s="27" t="e">
        <f t="shared" si="22"/>
        <v>#DIV/0!</v>
      </c>
      <c r="AC18" s="27" t="e">
        <f t="shared" si="23"/>
        <v>#DIV/0!</v>
      </c>
      <c r="AD18" s="27" t="e">
        <f t="shared" si="24"/>
        <v>#DIV/0!</v>
      </c>
    </row>
    <row r="19" spans="19:30" x14ac:dyDescent="0.2">
      <c r="S19" s="27" t="e">
        <f t="shared" si="13"/>
        <v>#DIV/0!</v>
      </c>
      <c r="T19" s="27" t="e">
        <f t="shared" si="14"/>
        <v>#DIV/0!</v>
      </c>
      <c r="U19" s="27" t="e">
        <f t="shared" si="15"/>
        <v>#DIV/0!</v>
      </c>
      <c r="V19" s="27" t="e">
        <f t="shared" si="16"/>
        <v>#DIV/0!</v>
      </c>
      <c r="W19" s="27" t="e">
        <f t="shared" si="17"/>
        <v>#DIV/0!</v>
      </c>
      <c r="X19" s="27" t="e">
        <f t="shared" si="18"/>
        <v>#DIV/0!</v>
      </c>
      <c r="Y19" s="27" t="e">
        <f t="shared" si="19"/>
        <v>#DIV/0!</v>
      </c>
      <c r="Z19" s="27" t="e">
        <f t="shared" si="20"/>
        <v>#DIV/0!</v>
      </c>
      <c r="AA19" s="27" t="e">
        <f t="shared" si="21"/>
        <v>#DIV/0!</v>
      </c>
      <c r="AB19" s="27" t="e">
        <f t="shared" si="22"/>
        <v>#DIV/0!</v>
      </c>
      <c r="AC19" s="27" t="e">
        <f t="shared" si="23"/>
        <v>#DIV/0!</v>
      </c>
      <c r="AD19" s="27" t="e">
        <f t="shared" si="24"/>
        <v>#DIV/0!</v>
      </c>
    </row>
    <row r="20" spans="19:30" x14ac:dyDescent="0.2">
      <c r="S20" s="27" t="e">
        <f t="shared" si="13"/>
        <v>#DIV/0!</v>
      </c>
      <c r="T20" s="27" t="e">
        <f t="shared" si="14"/>
        <v>#DIV/0!</v>
      </c>
      <c r="U20" s="27" t="e">
        <f t="shared" si="15"/>
        <v>#DIV/0!</v>
      </c>
      <c r="V20" s="27" t="e">
        <f t="shared" si="16"/>
        <v>#DIV/0!</v>
      </c>
      <c r="W20" s="27" t="e">
        <f t="shared" si="17"/>
        <v>#DIV/0!</v>
      </c>
      <c r="X20" s="27" t="e">
        <f t="shared" si="18"/>
        <v>#DIV/0!</v>
      </c>
      <c r="Y20" s="27" t="e">
        <f t="shared" si="19"/>
        <v>#DIV/0!</v>
      </c>
      <c r="Z20" s="27" t="e">
        <f t="shared" si="20"/>
        <v>#DIV/0!</v>
      </c>
      <c r="AA20" s="27" t="e">
        <f t="shared" si="21"/>
        <v>#DIV/0!</v>
      </c>
      <c r="AB20" s="27" t="e">
        <f t="shared" si="22"/>
        <v>#DIV/0!</v>
      </c>
      <c r="AC20" s="27" t="e">
        <f t="shared" si="23"/>
        <v>#DIV/0!</v>
      </c>
      <c r="AD20" s="27" t="e">
        <f t="shared" si="24"/>
        <v>#DIV/0!</v>
      </c>
    </row>
    <row r="21" spans="19:30" x14ac:dyDescent="0.2">
      <c r="S21" s="27" t="e">
        <f t="shared" si="13"/>
        <v>#DIV/0!</v>
      </c>
      <c r="T21" s="27" t="e">
        <f t="shared" si="14"/>
        <v>#DIV/0!</v>
      </c>
      <c r="U21" s="27" t="e">
        <f t="shared" si="15"/>
        <v>#DIV/0!</v>
      </c>
      <c r="V21" s="27" t="e">
        <f t="shared" si="16"/>
        <v>#DIV/0!</v>
      </c>
      <c r="W21" s="27" t="e">
        <f t="shared" si="17"/>
        <v>#DIV/0!</v>
      </c>
      <c r="X21" s="27" t="e">
        <f t="shared" si="18"/>
        <v>#DIV/0!</v>
      </c>
      <c r="Y21" s="27" t="e">
        <f t="shared" si="19"/>
        <v>#DIV/0!</v>
      </c>
      <c r="Z21" s="27" t="e">
        <f t="shared" si="20"/>
        <v>#DIV/0!</v>
      </c>
      <c r="AA21" s="27" t="e">
        <f t="shared" si="21"/>
        <v>#DIV/0!</v>
      </c>
      <c r="AB21" s="27" t="e">
        <f t="shared" si="22"/>
        <v>#DIV/0!</v>
      </c>
      <c r="AC21" s="27" t="e">
        <f t="shared" si="23"/>
        <v>#DIV/0!</v>
      </c>
      <c r="AD21" s="27" t="e">
        <f t="shared" si="24"/>
        <v>#DIV/0!</v>
      </c>
    </row>
    <row r="22" spans="19:30" x14ac:dyDescent="0.2">
      <c r="S22" s="27" t="e">
        <f t="shared" si="13"/>
        <v>#DIV/0!</v>
      </c>
      <c r="T22" s="27" t="e">
        <f t="shared" si="14"/>
        <v>#DIV/0!</v>
      </c>
      <c r="U22" s="27" t="e">
        <f t="shared" si="15"/>
        <v>#DIV/0!</v>
      </c>
      <c r="V22" s="27" t="e">
        <f t="shared" si="16"/>
        <v>#DIV/0!</v>
      </c>
      <c r="W22" s="27" t="e">
        <f t="shared" si="17"/>
        <v>#DIV/0!</v>
      </c>
      <c r="X22" s="27" t="e">
        <f t="shared" si="18"/>
        <v>#DIV/0!</v>
      </c>
      <c r="Y22" s="27" t="e">
        <f t="shared" si="19"/>
        <v>#DIV/0!</v>
      </c>
      <c r="Z22" s="27" t="e">
        <f t="shared" si="20"/>
        <v>#DIV/0!</v>
      </c>
      <c r="AA22" s="27" t="e">
        <f t="shared" si="21"/>
        <v>#DIV/0!</v>
      </c>
      <c r="AB22" s="27" t="e">
        <f t="shared" si="22"/>
        <v>#DIV/0!</v>
      </c>
      <c r="AC22" s="27" t="e">
        <f t="shared" si="23"/>
        <v>#DIV/0!</v>
      </c>
      <c r="AD22" s="27" t="e">
        <f t="shared" si="24"/>
        <v>#DIV/0!</v>
      </c>
    </row>
    <row r="23" spans="19:30" x14ac:dyDescent="0.2">
      <c r="S23" s="27" t="e">
        <f t="shared" si="13"/>
        <v>#DIV/0!</v>
      </c>
      <c r="T23" s="27" t="e">
        <f t="shared" si="14"/>
        <v>#DIV/0!</v>
      </c>
      <c r="U23" s="27" t="e">
        <f t="shared" si="15"/>
        <v>#DIV/0!</v>
      </c>
      <c r="V23" s="27" t="e">
        <f t="shared" si="16"/>
        <v>#DIV/0!</v>
      </c>
      <c r="W23" s="27" t="e">
        <f t="shared" si="17"/>
        <v>#DIV/0!</v>
      </c>
      <c r="X23" s="27" t="e">
        <f t="shared" si="18"/>
        <v>#DIV/0!</v>
      </c>
      <c r="Y23" s="27" t="e">
        <f t="shared" si="19"/>
        <v>#DIV/0!</v>
      </c>
      <c r="Z23" s="27" t="e">
        <f t="shared" si="20"/>
        <v>#DIV/0!</v>
      </c>
      <c r="AA23" s="27" t="e">
        <f t="shared" si="21"/>
        <v>#DIV/0!</v>
      </c>
      <c r="AB23" s="27" t="e">
        <f t="shared" si="22"/>
        <v>#DIV/0!</v>
      </c>
      <c r="AC23" s="27" t="e">
        <f t="shared" si="23"/>
        <v>#DIV/0!</v>
      </c>
      <c r="AD23" s="27" t="e">
        <f t="shared" si="24"/>
        <v>#DIV/0!</v>
      </c>
    </row>
    <row r="24" spans="19:30" x14ac:dyDescent="0.2">
      <c r="S24" s="27" t="e">
        <f t="shared" si="13"/>
        <v>#DIV/0!</v>
      </c>
      <c r="T24" s="27" t="e">
        <f t="shared" si="14"/>
        <v>#DIV/0!</v>
      </c>
      <c r="U24" s="27" t="e">
        <f t="shared" si="15"/>
        <v>#DIV/0!</v>
      </c>
      <c r="V24" s="27" t="e">
        <f t="shared" si="16"/>
        <v>#DIV/0!</v>
      </c>
      <c r="W24" s="27" t="e">
        <f t="shared" si="17"/>
        <v>#DIV/0!</v>
      </c>
      <c r="X24" s="27" t="e">
        <f t="shared" si="18"/>
        <v>#DIV/0!</v>
      </c>
      <c r="Y24" s="27" t="e">
        <f t="shared" si="19"/>
        <v>#DIV/0!</v>
      </c>
      <c r="Z24" s="27" t="e">
        <f t="shared" si="20"/>
        <v>#DIV/0!</v>
      </c>
      <c r="AA24" s="27" t="e">
        <f t="shared" si="21"/>
        <v>#DIV/0!</v>
      </c>
      <c r="AB24" s="27" t="e">
        <f t="shared" si="22"/>
        <v>#DIV/0!</v>
      </c>
      <c r="AC24" s="27" t="e">
        <f t="shared" si="23"/>
        <v>#DIV/0!</v>
      </c>
      <c r="AD24" s="27" t="e">
        <f t="shared" si="24"/>
        <v>#DIV/0!</v>
      </c>
    </row>
    <row r="25" spans="19:30" x14ac:dyDescent="0.2">
      <c r="S25" s="27" t="e">
        <f t="shared" si="13"/>
        <v>#DIV/0!</v>
      </c>
      <c r="T25" s="27" t="e">
        <f t="shared" si="14"/>
        <v>#DIV/0!</v>
      </c>
      <c r="U25" s="27" t="e">
        <f t="shared" si="15"/>
        <v>#DIV/0!</v>
      </c>
      <c r="V25" s="27" t="e">
        <f t="shared" si="16"/>
        <v>#DIV/0!</v>
      </c>
      <c r="W25" s="27" t="e">
        <f t="shared" si="17"/>
        <v>#DIV/0!</v>
      </c>
      <c r="X25" s="27" t="e">
        <f t="shared" si="18"/>
        <v>#DIV/0!</v>
      </c>
      <c r="Y25" s="27" t="e">
        <f t="shared" si="19"/>
        <v>#DIV/0!</v>
      </c>
      <c r="Z25" s="27" t="e">
        <f t="shared" si="20"/>
        <v>#DIV/0!</v>
      </c>
      <c r="AA25" s="27" t="e">
        <f t="shared" si="21"/>
        <v>#DIV/0!</v>
      </c>
      <c r="AB25" s="27" t="e">
        <f t="shared" si="22"/>
        <v>#DIV/0!</v>
      </c>
      <c r="AC25" s="27" t="e">
        <f t="shared" si="23"/>
        <v>#DIV/0!</v>
      </c>
      <c r="AD25" s="27" t="e">
        <f t="shared" si="24"/>
        <v>#DIV/0!</v>
      </c>
    </row>
    <row r="26" spans="19:30" x14ac:dyDescent="0.2">
      <c r="S26" s="27" t="e">
        <f t="shared" si="13"/>
        <v>#DIV/0!</v>
      </c>
      <c r="T26" s="27" t="e">
        <f t="shared" si="14"/>
        <v>#DIV/0!</v>
      </c>
      <c r="U26" s="27" t="e">
        <f t="shared" si="15"/>
        <v>#DIV/0!</v>
      </c>
      <c r="V26" s="27" t="e">
        <f t="shared" si="16"/>
        <v>#DIV/0!</v>
      </c>
      <c r="W26" s="27" t="e">
        <f t="shared" si="17"/>
        <v>#DIV/0!</v>
      </c>
      <c r="X26" s="27" t="e">
        <f t="shared" si="18"/>
        <v>#DIV/0!</v>
      </c>
      <c r="Y26" s="27" t="e">
        <f t="shared" si="19"/>
        <v>#DIV/0!</v>
      </c>
      <c r="Z26" s="27" t="e">
        <f t="shared" si="20"/>
        <v>#DIV/0!</v>
      </c>
      <c r="AA26" s="27" t="e">
        <f t="shared" si="21"/>
        <v>#DIV/0!</v>
      </c>
      <c r="AB26" s="27" t="e">
        <f t="shared" si="22"/>
        <v>#DIV/0!</v>
      </c>
      <c r="AC26" s="27" t="e">
        <f t="shared" si="23"/>
        <v>#DIV/0!</v>
      </c>
      <c r="AD26" s="27" t="e">
        <f t="shared" si="24"/>
        <v>#DIV/0!</v>
      </c>
    </row>
    <row r="27" spans="19:30" x14ac:dyDescent="0.2">
      <c r="S27" s="27" t="e">
        <f t="shared" si="13"/>
        <v>#DIV/0!</v>
      </c>
      <c r="T27" s="27" t="e">
        <f t="shared" si="14"/>
        <v>#DIV/0!</v>
      </c>
      <c r="U27" s="27" t="e">
        <f t="shared" si="15"/>
        <v>#DIV/0!</v>
      </c>
      <c r="V27" s="27" t="e">
        <f t="shared" si="16"/>
        <v>#DIV/0!</v>
      </c>
      <c r="W27" s="27" t="e">
        <f t="shared" si="17"/>
        <v>#DIV/0!</v>
      </c>
      <c r="X27" s="27" t="e">
        <f t="shared" si="18"/>
        <v>#DIV/0!</v>
      </c>
      <c r="Y27" s="27" t="e">
        <f t="shared" si="19"/>
        <v>#DIV/0!</v>
      </c>
      <c r="Z27" s="27" t="e">
        <f t="shared" si="20"/>
        <v>#DIV/0!</v>
      </c>
      <c r="AA27" s="27" t="e">
        <f t="shared" si="21"/>
        <v>#DIV/0!</v>
      </c>
      <c r="AB27" s="27" t="e">
        <f t="shared" si="22"/>
        <v>#DIV/0!</v>
      </c>
      <c r="AC27" s="27" t="e">
        <f t="shared" si="23"/>
        <v>#DIV/0!</v>
      </c>
      <c r="AD27" s="27" t="e">
        <f t="shared" si="24"/>
        <v>#DIV/0!</v>
      </c>
    </row>
    <row r="28" spans="19:30" x14ac:dyDescent="0.2">
      <c r="S28" s="27" t="e">
        <f t="shared" si="13"/>
        <v>#DIV/0!</v>
      </c>
      <c r="T28" s="27" t="e">
        <f t="shared" si="14"/>
        <v>#DIV/0!</v>
      </c>
      <c r="U28" s="27" t="e">
        <f t="shared" si="15"/>
        <v>#DIV/0!</v>
      </c>
      <c r="V28" s="27" t="e">
        <f t="shared" si="16"/>
        <v>#DIV/0!</v>
      </c>
      <c r="W28" s="27" t="e">
        <f t="shared" si="17"/>
        <v>#DIV/0!</v>
      </c>
      <c r="X28" s="27" t="e">
        <f t="shared" si="18"/>
        <v>#DIV/0!</v>
      </c>
      <c r="Y28" s="27" t="e">
        <f t="shared" si="19"/>
        <v>#DIV/0!</v>
      </c>
      <c r="Z28" s="27" t="e">
        <f t="shared" si="20"/>
        <v>#DIV/0!</v>
      </c>
      <c r="AA28" s="27" t="e">
        <f t="shared" si="21"/>
        <v>#DIV/0!</v>
      </c>
      <c r="AB28" s="27" t="e">
        <f t="shared" si="22"/>
        <v>#DIV/0!</v>
      </c>
      <c r="AC28" s="27" t="e">
        <f t="shared" si="23"/>
        <v>#DIV/0!</v>
      </c>
      <c r="AD28" s="27" t="e">
        <f t="shared" si="24"/>
        <v>#DIV/0!</v>
      </c>
    </row>
    <row r="29" spans="19:30" x14ac:dyDescent="0.2">
      <c r="S29" s="27" t="e">
        <f t="shared" si="13"/>
        <v>#DIV/0!</v>
      </c>
      <c r="T29" s="27" t="e">
        <f t="shared" si="14"/>
        <v>#DIV/0!</v>
      </c>
      <c r="U29" s="27" t="e">
        <f t="shared" si="15"/>
        <v>#DIV/0!</v>
      </c>
      <c r="V29" s="27" t="e">
        <f t="shared" si="16"/>
        <v>#DIV/0!</v>
      </c>
      <c r="W29" s="27" t="e">
        <f t="shared" si="17"/>
        <v>#DIV/0!</v>
      </c>
      <c r="X29" s="27" t="e">
        <f t="shared" si="18"/>
        <v>#DIV/0!</v>
      </c>
      <c r="Y29" s="27" t="e">
        <f t="shared" si="19"/>
        <v>#DIV/0!</v>
      </c>
      <c r="Z29" s="27" t="e">
        <f t="shared" si="20"/>
        <v>#DIV/0!</v>
      </c>
      <c r="AA29" s="27" t="e">
        <f t="shared" si="21"/>
        <v>#DIV/0!</v>
      </c>
      <c r="AB29" s="27" t="e">
        <f t="shared" si="22"/>
        <v>#DIV/0!</v>
      </c>
      <c r="AC29" s="27" t="e">
        <f t="shared" si="23"/>
        <v>#DIV/0!</v>
      </c>
      <c r="AD29" s="27" t="e">
        <f t="shared" si="24"/>
        <v>#DIV/0!</v>
      </c>
    </row>
    <row r="30" spans="19:30" x14ac:dyDescent="0.2">
      <c r="S30" s="27" t="e">
        <f t="shared" si="13"/>
        <v>#DIV/0!</v>
      </c>
      <c r="T30" s="27" t="e">
        <f t="shared" si="14"/>
        <v>#DIV/0!</v>
      </c>
      <c r="U30" s="27" t="e">
        <f t="shared" si="15"/>
        <v>#DIV/0!</v>
      </c>
      <c r="V30" s="27" t="e">
        <f t="shared" si="16"/>
        <v>#DIV/0!</v>
      </c>
      <c r="W30" s="27" t="e">
        <f t="shared" si="17"/>
        <v>#DIV/0!</v>
      </c>
      <c r="X30" s="27" t="e">
        <f t="shared" si="18"/>
        <v>#DIV/0!</v>
      </c>
      <c r="Y30" s="27" t="e">
        <f t="shared" si="19"/>
        <v>#DIV/0!</v>
      </c>
      <c r="Z30" s="27" t="e">
        <f t="shared" si="20"/>
        <v>#DIV/0!</v>
      </c>
      <c r="AA30" s="27" t="e">
        <f t="shared" si="21"/>
        <v>#DIV/0!</v>
      </c>
      <c r="AB30" s="27" t="e">
        <f t="shared" si="22"/>
        <v>#DIV/0!</v>
      </c>
      <c r="AC30" s="27" t="e">
        <f t="shared" si="23"/>
        <v>#DIV/0!</v>
      </c>
      <c r="AD30" s="27" t="e">
        <f t="shared" si="24"/>
        <v>#DIV/0!</v>
      </c>
    </row>
    <row r="31" spans="19:30" x14ac:dyDescent="0.2">
      <c r="S31" s="27" t="e">
        <f t="shared" si="13"/>
        <v>#DIV/0!</v>
      </c>
      <c r="T31" s="27" t="e">
        <f t="shared" si="14"/>
        <v>#DIV/0!</v>
      </c>
      <c r="U31" s="27" t="e">
        <f t="shared" si="15"/>
        <v>#DIV/0!</v>
      </c>
      <c r="V31" s="27" t="e">
        <f t="shared" si="16"/>
        <v>#DIV/0!</v>
      </c>
      <c r="W31" s="27" t="e">
        <f t="shared" si="17"/>
        <v>#DIV/0!</v>
      </c>
      <c r="X31" s="27" t="e">
        <f t="shared" si="18"/>
        <v>#DIV/0!</v>
      </c>
      <c r="Y31" s="27" t="e">
        <f t="shared" si="19"/>
        <v>#DIV/0!</v>
      </c>
      <c r="Z31" s="27" t="e">
        <f t="shared" si="20"/>
        <v>#DIV/0!</v>
      </c>
      <c r="AA31" s="27" t="e">
        <f t="shared" si="21"/>
        <v>#DIV/0!</v>
      </c>
      <c r="AB31" s="27" t="e">
        <f t="shared" si="22"/>
        <v>#DIV/0!</v>
      </c>
      <c r="AC31" s="27" t="e">
        <f t="shared" si="23"/>
        <v>#DIV/0!</v>
      </c>
      <c r="AD31" s="27" t="e">
        <f t="shared" si="24"/>
        <v>#DIV/0!</v>
      </c>
    </row>
    <row r="32" spans="19:30" x14ac:dyDescent="0.2">
      <c r="S32" s="27" t="e">
        <f t="shared" si="13"/>
        <v>#DIV/0!</v>
      </c>
      <c r="T32" s="27" t="e">
        <f t="shared" si="14"/>
        <v>#DIV/0!</v>
      </c>
      <c r="U32" s="27" t="e">
        <f t="shared" si="15"/>
        <v>#DIV/0!</v>
      </c>
      <c r="V32" s="27" t="e">
        <f t="shared" si="16"/>
        <v>#DIV/0!</v>
      </c>
      <c r="W32" s="27" t="e">
        <f t="shared" si="17"/>
        <v>#DIV/0!</v>
      </c>
      <c r="X32" s="27" t="e">
        <f t="shared" si="18"/>
        <v>#DIV/0!</v>
      </c>
      <c r="Y32" s="27" t="e">
        <f t="shared" si="19"/>
        <v>#DIV/0!</v>
      </c>
      <c r="Z32" s="27" t="e">
        <f t="shared" si="20"/>
        <v>#DIV/0!</v>
      </c>
      <c r="AA32" s="27" t="e">
        <f t="shared" si="21"/>
        <v>#DIV/0!</v>
      </c>
      <c r="AB32" s="27" t="e">
        <f t="shared" si="22"/>
        <v>#DIV/0!</v>
      </c>
      <c r="AC32" s="27" t="e">
        <f t="shared" si="23"/>
        <v>#DIV/0!</v>
      </c>
      <c r="AD32" s="27" t="e">
        <f t="shared" si="24"/>
        <v>#DIV/0!</v>
      </c>
    </row>
    <row r="33" spans="19:30" x14ac:dyDescent="0.2">
      <c r="S33" s="27" t="e">
        <f t="shared" si="13"/>
        <v>#DIV/0!</v>
      </c>
      <c r="T33" s="27" t="e">
        <f t="shared" si="14"/>
        <v>#DIV/0!</v>
      </c>
      <c r="U33" s="27" t="e">
        <f t="shared" si="15"/>
        <v>#DIV/0!</v>
      </c>
      <c r="V33" s="27" t="e">
        <f t="shared" si="16"/>
        <v>#DIV/0!</v>
      </c>
      <c r="W33" s="27" t="e">
        <f t="shared" si="17"/>
        <v>#DIV/0!</v>
      </c>
      <c r="X33" s="27" t="e">
        <f t="shared" si="18"/>
        <v>#DIV/0!</v>
      </c>
      <c r="Y33" s="27" t="e">
        <f t="shared" si="19"/>
        <v>#DIV/0!</v>
      </c>
      <c r="Z33" s="27" t="e">
        <f t="shared" si="20"/>
        <v>#DIV/0!</v>
      </c>
      <c r="AA33" s="27" t="e">
        <f t="shared" si="21"/>
        <v>#DIV/0!</v>
      </c>
      <c r="AB33" s="27" t="e">
        <f t="shared" si="22"/>
        <v>#DIV/0!</v>
      </c>
      <c r="AC33" s="27" t="e">
        <f t="shared" si="23"/>
        <v>#DIV/0!</v>
      </c>
      <c r="AD33" s="27" t="e">
        <f t="shared" si="24"/>
        <v>#DIV/0!</v>
      </c>
    </row>
    <row r="34" spans="19:30" x14ac:dyDescent="0.2">
      <c r="S34" s="27" t="e">
        <f t="shared" si="13"/>
        <v>#DIV/0!</v>
      </c>
      <c r="T34" s="27" t="e">
        <f t="shared" si="14"/>
        <v>#DIV/0!</v>
      </c>
      <c r="U34" s="27" t="e">
        <f t="shared" si="15"/>
        <v>#DIV/0!</v>
      </c>
      <c r="V34" s="27" t="e">
        <f t="shared" si="16"/>
        <v>#DIV/0!</v>
      </c>
      <c r="W34" s="27" t="e">
        <f t="shared" si="17"/>
        <v>#DIV/0!</v>
      </c>
      <c r="X34" s="27" t="e">
        <f t="shared" si="18"/>
        <v>#DIV/0!</v>
      </c>
      <c r="Y34" s="27" t="e">
        <f t="shared" si="19"/>
        <v>#DIV/0!</v>
      </c>
      <c r="Z34" s="27" t="e">
        <f t="shared" si="20"/>
        <v>#DIV/0!</v>
      </c>
      <c r="AA34" s="27" t="e">
        <f t="shared" si="21"/>
        <v>#DIV/0!</v>
      </c>
      <c r="AB34" s="27" t="e">
        <f t="shared" si="22"/>
        <v>#DIV/0!</v>
      </c>
      <c r="AC34" s="27" t="e">
        <f t="shared" si="23"/>
        <v>#DIV/0!</v>
      </c>
      <c r="AD34" s="27" t="e">
        <f t="shared" si="24"/>
        <v>#DIV/0!</v>
      </c>
    </row>
    <row r="35" spans="19:30" x14ac:dyDescent="0.2">
      <c r="S35" s="27" t="e">
        <f t="shared" si="13"/>
        <v>#DIV/0!</v>
      </c>
      <c r="T35" s="27" t="e">
        <f t="shared" si="14"/>
        <v>#DIV/0!</v>
      </c>
      <c r="U35" s="27" t="e">
        <f t="shared" si="15"/>
        <v>#DIV/0!</v>
      </c>
      <c r="V35" s="27" t="e">
        <f t="shared" si="16"/>
        <v>#DIV/0!</v>
      </c>
      <c r="W35" s="27" t="e">
        <f t="shared" si="17"/>
        <v>#DIV/0!</v>
      </c>
      <c r="X35" s="27" t="e">
        <f t="shared" si="18"/>
        <v>#DIV/0!</v>
      </c>
      <c r="Y35" s="27" t="e">
        <f t="shared" si="19"/>
        <v>#DIV/0!</v>
      </c>
      <c r="Z35" s="27" t="e">
        <f t="shared" si="20"/>
        <v>#DIV/0!</v>
      </c>
      <c r="AA35" s="27" t="e">
        <f t="shared" si="21"/>
        <v>#DIV/0!</v>
      </c>
      <c r="AB35" s="27" t="e">
        <f t="shared" si="22"/>
        <v>#DIV/0!</v>
      </c>
      <c r="AC35" s="27" t="e">
        <f t="shared" si="23"/>
        <v>#DIV/0!</v>
      </c>
      <c r="AD35" s="27" t="e">
        <f t="shared" si="24"/>
        <v>#DIV/0!</v>
      </c>
    </row>
    <row r="36" spans="19:30" x14ac:dyDescent="0.2">
      <c r="S36" s="27" t="e">
        <f t="shared" si="13"/>
        <v>#DIV/0!</v>
      </c>
      <c r="T36" s="27" t="e">
        <f t="shared" si="14"/>
        <v>#DIV/0!</v>
      </c>
      <c r="U36" s="27" t="e">
        <f t="shared" si="15"/>
        <v>#DIV/0!</v>
      </c>
      <c r="V36" s="27" t="e">
        <f t="shared" si="16"/>
        <v>#DIV/0!</v>
      </c>
      <c r="W36" s="27" t="e">
        <f t="shared" si="17"/>
        <v>#DIV/0!</v>
      </c>
      <c r="X36" s="27" t="e">
        <f t="shared" si="18"/>
        <v>#DIV/0!</v>
      </c>
      <c r="Y36" s="27" t="e">
        <f t="shared" si="19"/>
        <v>#DIV/0!</v>
      </c>
      <c r="Z36" s="27" t="e">
        <f t="shared" si="20"/>
        <v>#DIV/0!</v>
      </c>
      <c r="AA36" s="27" t="e">
        <f t="shared" si="21"/>
        <v>#DIV/0!</v>
      </c>
      <c r="AB36" s="27" t="e">
        <f t="shared" si="22"/>
        <v>#DIV/0!</v>
      </c>
      <c r="AC36" s="27" t="e">
        <f t="shared" si="23"/>
        <v>#DIV/0!</v>
      </c>
      <c r="AD36" s="27" t="e">
        <f t="shared" si="24"/>
        <v>#DIV/0!</v>
      </c>
    </row>
    <row r="37" spans="19:30" x14ac:dyDescent="0.2">
      <c r="S37" s="27" t="e">
        <f t="shared" si="13"/>
        <v>#DIV/0!</v>
      </c>
      <c r="T37" s="27" t="e">
        <f t="shared" si="14"/>
        <v>#DIV/0!</v>
      </c>
      <c r="U37" s="27" t="e">
        <f t="shared" si="15"/>
        <v>#DIV/0!</v>
      </c>
      <c r="V37" s="27" t="e">
        <f t="shared" si="16"/>
        <v>#DIV/0!</v>
      </c>
      <c r="W37" s="27" t="e">
        <f t="shared" si="17"/>
        <v>#DIV/0!</v>
      </c>
      <c r="X37" s="27" t="e">
        <f t="shared" si="18"/>
        <v>#DIV/0!</v>
      </c>
      <c r="Y37" s="27" t="e">
        <f t="shared" si="19"/>
        <v>#DIV/0!</v>
      </c>
      <c r="Z37" s="27" t="e">
        <f t="shared" si="20"/>
        <v>#DIV/0!</v>
      </c>
      <c r="AA37" s="27" t="e">
        <f t="shared" si="21"/>
        <v>#DIV/0!</v>
      </c>
      <c r="AB37" s="27" t="e">
        <f t="shared" si="22"/>
        <v>#DIV/0!</v>
      </c>
      <c r="AC37" s="27" t="e">
        <f t="shared" si="23"/>
        <v>#DIV/0!</v>
      </c>
      <c r="AD37" s="27" t="e">
        <f t="shared" si="24"/>
        <v>#DIV/0!</v>
      </c>
    </row>
    <row r="38" spans="19:30" x14ac:dyDescent="0.2">
      <c r="S38" s="27" t="e">
        <f t="shared" si="13"/>
        <v>#DIV/0!</v>
      </c>
      <c r="T38" s="27" t="e">
        <f t="shared" si="14"/>
        <v>#DIV/0!</v>
      </c>
      <c r="U38" s="27" t="e">
        <f t="shared" si="15"/>
        <v>#DIV/0!</v>
      </c>
      <c r="V38" s="27" t="e">
        <f t="shared" si="16"/>
        <v>#DIV/0!</v>
      </c>
      <c r="W38" s="27" t="e">
        <f t="shared" si="17"/>
        <v>#DIV/0!</v>
      </c>
      <c r="X38" s="27" t="e">
        <f t="shared" si="18"/>
        <v>#DIV/0!</v>
      </c>
      <c r="Y38" s="27" t="e">
        <f t="shared" si="19"/>
        <v>#DIV/0!</v>
      </c>
      <c r="Z38" s="27" t="e">
        <f t="shared" si="20"/>
        <v>#DIV/0!</v>
      </c>
      <c r="AA38" s="27" t="e">
        <f t="shared" si="21"/>
        <v>#DIV/0!</v>
      </c>
      <c r="AB38" s="27" t="e">
        <f t="shared" si="22"/>
        <v>#DIV/0!</v>
      </c>
      <c r="AC38" s="27" t="e">
        <f t="shared" si="23"/>
        <v>#DIV/0!</v>
      </c>
      <c r="AD38" s="27" t="e">
        <f t="shared" si="24"/>
        <v>#DIV/0!</v>
      </c>
    </row>
    <row r="39" spans="19:30" x14ac:dyDescent="0.2">
      <c r="S39" s="27" t="e">
        <f t="shared" si="13"/>
        <v>#DIV/0!</v>
      </c>
      <c r="T39" s="27" t="e">
        <f t="shared" si="14"/>
        <v>#DIV/0!</v>
      </c>
      <c r="U39" s="27" t="e">
        <f t="shared" si="15"/>
        <v>#DIV/0!</v>
      </c>
      <c r="V39" s="27" t="e">
        <f t="shared" si="16"/>
        <v>#DIV/0!</v>
      </c>
      <c r="W39" s="27" t="e">
        <f t="shared" si="17"/>
        <v>#DIV/0!</v>
      </c>
      <c r="X39" s="27" t="e">
        <f t="shared" si="18"/>
        <v>#DIV/0!</v>
      </c>
      <c r="Y39" s="27" t="e">
        <f t="shared" si="19"/>
        <v>#DIV/0!</v>
      </c>
      <c r="Z39" s="27" t="e">
        <f t="shared" si="20"/>
        <v>#DIV/0!</v>
      </c>
      <c r="AA39" s="27" t="e">
        <f t="shared" si="21"/>
        <v>#DIV/0!</v>
      </c>
      <c r="AB39" s="27" t="e">
        <f t="shared" si="22"/>
        <v>#DIV/0!</v>
      </c>
      <c r="AC39" s="27" t="e">
        <f t="shared" si="23"/>
        <v>#DIV/0!</v>
      </c>
      <c r="AD39" s="27" t="e">
        <f t="shared" si="24"/>
        <v>#DIV/0!</v>
      </c>
    </row>
    <row r="40" spans="19:30" x14ac:dyDescent="0.2">
      <c r="S40" s="27" t="e">
        <f t="shared" si="13"/>
        <v>#DIV/0!</v>
      </c>
      <c r="T40" s="27" t="e">
        <f t="shared" si="14"/>
        <v>#DIV/0!</v>
      </c>
      <c r="U40" s="27" t="e">
        <f t="shared" si="15"/>
        <v>#DIV/0!</v>
      </c>
      <c r="V40" s="27" t="e">
        <f t="shared" si="16"/>
        <v>#DIV/0!</v>
      </c>
      <c r="W40" s="27" t="e">
        <f t="shared" si="17"/>
        <v>#DIV/0!</v>
      </c>
      <c r="X40" s="27" t="e">
        <f t="shared" si="18"/>
        <v>#DIV/0!</v>
      </c>
      <c r="Y40" s="27" t="e">
        <f t="shared" si="19"/>
        <v>#DIV/0!</v>
      </c>
      <c r="Z40" s="27" t="e">
        <f t="shared" si="20"/>
        <v>#DIV/0!</v>
      </c>
      <c r="AA40" s="27" t="e">
        <f t="shared" si="21"/>
        <v>#DIV/0!</v>
      </c>
      <c r="AB40" s="27" t="e">
        <f t="shared" si="22"/>
        <v>#DIV/0!</v>
      </c>
      <c r="AC40" s="27" t="e">
        <f t="shared" si="23"/>
        <v>#DIV/0!</v>
      </c>
      <c r="AD40" s="27" t="e">
        <f t="shared" si="24"/>
        <v>#DIV/0!</v>
      </c>
    </row>
  </sheetData>
  <mergeCells count="3">
    <mergeCell ref="B1:R1"/>
    <mergeCell ref="G2:R2"/>
    <mergeCell ref="S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Penatausahaan</dc:title>
  <dc:creator>IT - Hamid Septian</dc:creator>
  <cp:lastModifiedBy>IT - Hamid Septian</cp:lastModifiedBy>
  <dcterms:created xsi:type="dcterms:W3CDTF">2025-12-16T04:19:25Z</dcterms:created>
  <dcterms:modified xsi:type="dcterms:W3CDTF">2025-12-18T03:52:47Z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2025-10-13T00:00:00Z</vt:filetime>
  </property>
  <property fmtid="{D5CDD505-2E9C-101B-9397-08002B2CF9AE}" pid="3" name="Creator">
    <vt:lpwstr>Mozilla/5.0 (Windows NT 10.0; Win64; x64) AppleWebKit/537.36 (KHTML, like Gecko) Chrome/141.0.0.0 Safari/537.36</vt:lpwstr>
  </property>
  <property fmtid="{D5CDD505-2E9C-101B-9397-08002B2CF9AE}" pid="4" name="LastSaved">
    <vt:filetime>2025-12-16T00:00:00Z</vt:filetime>
  </property>
  <property fmtid="{D5CDD505-2E9C-101B-9397-08002B2CF9AE}" pid="5" name="Producer">
    <vt:lpwstr>Skia/PDF m141</vt:lpwstr>
  </property>
</Properties>
</file>