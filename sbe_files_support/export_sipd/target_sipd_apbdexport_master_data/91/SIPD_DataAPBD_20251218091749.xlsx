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7" i="2" l="1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S9" i="2"/>
  <c r="T9" i="2"/>
  <c r="U9" i="2"/>
  <c r="V9" i="2"/>
  <c r="W9" i="2"/>
  <c r="X9" i="2"/>
  <c r="Y9" i="2"/>
  <c r="Z9" i="2"/>
  <c r="AA9" i="2"/>
  <c r="AB9" i="2"/>
  <c r="AC9" i="2"/>
  <c r="AD9" i="2"/>
  <c r="S10" i="2"/>
  <c r="T10" i="2"/>
  <c r="U10" i="2"/>
  <c r="V10" i="2"/>
  <c r="W10" i="2"/>
  <c r="X10" i="2"/>
  <c r="Y10" i="2"/>
  <c r="Z10" i="2"/>
  <c r="AA10" i="2"/>
  <c r="AB10" i="2"/>
  <c r="AC10" i="2"/>
  <c r="AD10" i="2"/>
  <c r="S11" i="2"/>
  <c r="T11" i="2"/>
  <c r="U11" i="2"/>
  <c r="V11" i="2"/>
  <c r="W11" i="2"/>
  <c r="X11" i="2"/>
  <c r="Y11" i="2"/>
  <c r="Z11" i="2"/>
  <c r="AA11" i="2"/>
  <c r="AB11" i="2"/>
  <c r="AC11" i="2"/>
  <c r="AD11" i="2"/>
  <c r="S12" i="2"/>
  <c r="T12" i="2"/>
  <c r="U12" i="2"/>
  <c r="V12" i="2"/>
  <c r="W12" i="2"/>
  <c r="X12" i="2"/>
  <c r="Y12" i="2"/>
  <c r="Z12" i="2"/>
  <c r="AA12" i="2"/>
  <c r="AB12" i="2"/>
  <c r="AC12" i="2"/>
  <c r="AD12" i="2"/>
  <c r="S13" i="2"/>
  <c r="T13" i="2"/>
  <c r="U13" i="2"/>
  <c r="V13" i="2"/>
  <c r="W13" i="2"/>
  <c r="X13" i="2"/>
  <c r="Y13" i="2"/>
  <c r="Z13" i="2"/>
  <c r="AA13" i="2"/>
  <c r="AB13" i="2"/>
  <c r="AC13" i="2"/>
  <c r="AD13" i="2"/>
  <c r="S14" i="2"/>
  <c r="T14" i="2"/>
  <c r="U14" i="2"/>
  <c r="V14" i="2"/>
  <c r="W14" i="2"/>
  <c r="X14" i="2"/>
  <c r="Y14" i="2"/>
  <c r="Z14" i="2"/>
  <c r="AA14" i="2"/>
  <c r="AB14" i="2"/>
  <c r="AC14" i="2"/>
  <c r="AD14" i="2"/>
  <c r="S15" i="2"/>
  <c r="T15" i="2"/>
  <c r="U15" i="2"/>
  <c r="V15" i="2"/>
  <c r="W15" i="2"/>
  <c r="X15" i="2"/>
  <c r="Y15" i="2"/>
  <c r="Z15" i="2"/>
  <c r="AA15" i="2"/>
  <c r="AB15" i="2"/>
  <c r="AC15" i="2"/>
  <c r="AD15" i="2"/>
  <c r="S16" i="2"/>
  <c r="T16" i="2"/>
  <c r="U16" i="2"/>
  <c r="V16" i="2"/>
  <c r="W16" i="2"/>
  <c r="X16" i="2"/>
  <c r="Y16" i="2"/>
  <c r="Z16" i="2"/>
  <c r="AA16" i="2"/>
  <c r="AB16" i="2"/>
  <c r="AC16" i="2"/>
  <c r="AD16" i="2"/>
  <c r="S17" i="2"/>
  <c r="T17" i="2"/>
  <c r="U17" i="2"/>
  <c r="V17" i="2"/>
  <c r="W17" i="2"/>
  <c r="X17" i="2"/>
  <c r="Y17" i="2"/>
  <c r="Z17" i="2"/>
  <c r="AA17" i="2"/>
  <c r="AB17" i="2"/>
  <c r="AC17" i="2"/>
  <c r="AD17" i="2"/>
  <c r="S18" i="2"/>
  <c r="T18" i="2"/>
  <c r="U18" i="2"/>
  <c r="V18" i="2"/>
  <c r="W18" i="2"/>
  <c r="X18" i="2"/>
  <c r="Y18" i="2"/>
  <c r="Z18" i="2"/>
  <c r="AA18" i="2"/>
  <c r="AB18" i="2"/>
  <c r="AC18" i="2"/>
  <c r="AD18" i="2"/>
  <c r="S19" i="2"/>
  <c r="T19" i="2"/>
  <c r="U19" i="2"/>
  <c r="V19" i="2"/>
  <c r="W19" i="2"/>
  <c r="X19" i="2"/>
  <c r="Y19" i="2"/>
  <c r="Z19" i="2"/>
  <c r="AA19" i="2"/>
  <c r="AB19" i="2"/>
  <c r="AC19" i="2"/>
  <c r="AD19" i="2"/>
  <c r="S20" i="2"/>
  <c r="T20" i="2"/>
  <c r="U20" i="2"/>
  <c r="V20" i="2"/>
  <c r="W20" i="2"/>
  <c r="X20" i="2"/>
  <c r="Y20" i="2"/>
  <c r="Z20" i="2"/>
  <c r="AA20" i="2"/>
  <c r="AB20" i="2"/>
  <c r="AC20" i="2"/>
  <c r="AD20" i="2"/>
  <c r="S21" i="2"/>
  <c r="T21" i="2"/>
  <c r="U21" i="2"/>
  <c r="V21" i="2"/>
  <c r="W21" i="2"/>
  <c r="X21" i="2"/>
  <c r="Y21" i="2"/>
  <c r="Z21" i="2"/>
  <c r="AA21" i="2"/>
  <c r="AB21" i="2"/>
  <c r="AC21" i="2"/>
  <c r="AD21" i="2"/>
  <c r="S22" i="2"/>
  <c r="T22" i="2"/>
  <c r="U22" i="2"/>
  <c r="V22" i="2"/>
  <c r="W22" i="2"/>
  <c r="X22" i="2"/>
  <c r="Y22" i="2"/>
  <c r="Z22" i="2"/>
  <c r="AA22" i="2"/>
  <c r="AB22" i="2"/>
  <c r="AC22" i="2"/>
  <c r="AD22" i="2"/>
  <c r="S23" i="2"/>
  <c r="T23" i="2"/>
  <c r="U23" i="2"/>
  <c r="V23" i="2"/>
  <c r="W23" i="2"/>
  <c r="X23" i="2"/>
  <c r="Y23" i="2"/>
  <c r="Z23" i="2"/>
  <c r="AA23" i="2"/>
  <c r="AB23" i="2"/>
  <c r="AC23" i="2"/>
  <c r="AD23" i="2"/>
  <c r="S24" i="2"/>
  <c r="T24" i="2"/>
  <c r="U24" i="2"/>
  <c r="V24" i="2"/>
  <c r="W24" i="2"/>
  <c r="X24" i="2"/>
  <c r="Y24" i="2"/>
  <c r="Z24" i="2"/>
  <c r="AA24" i="2"/>
  <c r="AB24" i="2"/>
  <c r="AC24" i="2"/>
  <c r="AD24" i="2"/>
  <c r="S25" i="2"/>
  <c r="T25" i="2"/>
  <c r="U25" i="2"/>
  <c r="V25" i="2"/>
  <c r="W25" i="2"/>
  <c r="X25" i="2"/>
  <c r="Y25" i="2"/>
  <c r="Z25" i="2"/>
  <c r="AA25" i="2"/>
  <c r="AB25" i="2"/>
  <c r="AC25" i="2"/>
  <c r="AD25" i="2"/>
  <c r="S26" i="2"/>
  <c r="T26" i="2"/>
  <c r="U26" i="2"/>
  <c r="V26" i="2"/>
  <c r="W26" i="2"/>
  <c r="X26" i="2"/>
  <c r="Y26" i="2"/>
  <c r="Z26" i="2"/>
  <c r="AA26" i="2"/>
  <c r="AB26" i="2"/>
  <c r="AC26" i="2"/>
  <c r="AD26" i="2"/>
  <c r="S27" i="2"/>
  <c r="T27" i="2"/>
  <c r="U27" i="2"/>
  <c r="V27" i="2"/>
  <c r="W27" i="2"/>
  <c r="X27" i="2"/>
  <c r="Y27" i="2"/>
  <c r="Z27" i="2"/>
  <c r="AA27" i="2"/>
  <c r="AB27" i="2"/>
  <c r="AC27" i="2"/>
  <c r="AD27" i="2"/>
  <c r="S28" i="2"/>
  <c r="T28" i="2"/>
  <c r="U28" i="2"/>
  <c r="V28" i="2"/>
  <c r="W28" i="2"/>
  <c r="X28" i="2"/>
  <c r="Y28" i="2"/>
  <c r="Z28" i="2"/>
  <c r="AA28" i="2"/>
  <c r="AB28" i="2"/>
  <c r="AC28" i="2"/>
  <c r="AD28" i="2"/>
  <c r="S29" i="2"/>
  <c r="T29" i="2"/>
  <c r="U29" i="2"/>
  <c r="V29" i="2"/>
  <c r="W29" i="2"/>
  <c r="X29" i="2"/>
  <c r="Y29" i="2"/>
  <c r="Z29" i="2"/>
  <c r="AA29" i="2"/>
  <c r="AB29" i="2"/>
  <c r="AC29" i="2"/>
  <c r="AD29" i="2"/>
  <c r="S30" i="2"/>
  <c r="T30" i="2"/>
  <c r="U30" i="2"/>
  <c r="V30" i="2"/>
  <c r="W30" i="2"/>
  <c r="X30" i="2"/>
  <c r="Y30" i="2"/>
  <c r="Z30" i="2"/>
  <c r="AA30" i="2"/>
  <c r="AB30" i="2"/>
  <c r="AC30" i="2"/>
  <c r="AD30" i="2"/>
  <c r="S31" i="2"/>
  <c r="T31" i="2"/>
  <c r="U31" i="2"/>
  <c r="V31" i="2"/>
  <c r="W31" i="2"/>
  <c r="X31" i="2"/>
  <c r="Y31" i="2"/>
  <c r="Z31" i="2"/>
  <c r="AA31" i="2"/>
  <c r="AB31" i="2"/>
  <c r="AC31" i="2"/>
  <c r="AD31" i="2"/>
  <c r="S32" i="2"/>
  <c r="T32" i="2"/>
  <c r="U32" i="2"/>
  <c r="V32" i="2"/>
  <c r="W32" i="2"/>
  <c r="X32" i="2"/>
  <c r="Y32" i="2"/>
  <c r="Z32" i="2"/>
  <c r="AA32" i="2"/>
  <c r="AB32" i="2"/>
  <c r="AC32" i="2"/>
  <c r="AD32" i="2"/>
  <c r="S33" i="2"/>
  <c r="T33" i="2"/>
  <c r="U33" i="2"/>
  <c r="V33" i="2"/>
  <c r="W33" i="2"/>
  <c r="X33" i="2"/>
  <c r="Y33" i="2"/>
  <c r="Z33" i="2"/>
  <c r="AA33" i="2"/>
  <c r="AB33" i="2"/>
  <c r="AC33" i="2"/>
  <c r="AD33" i="2"/>
  <c r="S34" i="2"/>
  <c r="T34" i="2"/>
  <c r="U34" i="2"/>
  <c r="V34" i="2"/>
  <c r="W34" i="2"/>
  <c r="X34" i="2"/>
  <c r="Y34" i="2"/>
  <c r="Z34" i="2"/>
  <c r="AA34" i="2"/>
  <c r="AB34" i="2"/>
  <c r="AC34" i="2"/>
  <c r="AD34" i="2"/>
  <c r="S35" i="2"/>
  <c r="T35" i="2"/>
  <c r="U35" i="2"/>
  <c r="V35" i="2"/>
  <c r="W35" i="2"/>
  <c r="X35" i="2"/>
  <c r="Y35" i="2"/>
  <c r="Z35" i="2"/>
  <c r="AA35" i="2"/>
  <c r="AB35" i="2"/>
  <c r="AC35" i="2"/>
  <c r="AD35" i="2"/>
  <c r="S36" i="2"/>
  <c r="T36" i="2"/>
  <c r="U36" i="2"/>
  <c r="V36" i="2"/>
  <c r="W36" i="2"/>
  <c r="X36" i="2"/>
  <c r="Y36" i="2"/>
  <c r="Z36" i="2"/>
  <c r="AA36" i="2"/>
  <c r="AB36" i="2"/>
  <c r="AC36" i="2"/>
  <c r="AD36" i="2"/>
  <c r="S37" i="2"/>
  <c r="T37" i="2"/>
  <c r="U37" i="2"/>
  <c r="V37" i="2"/>
  <c r="W37" i="2"/>
  <c r="X37" i="2"/>
  <c r="Y37" i="2"/>
  <c r="Z37" i="2"/>
  <c r="AA37" i="2"/>
  <c r="AB37" i="2"/>
  <c r="AC37" i="2"/>
  <c r="AD37" i="2"/>
  <c r="S38" i="2"/>
  <c r="T38" i="2"/>
  <c r="U38" i="2"/>
  <c r="V38" i="2"/>
  <c r="W38" i="2"/>
  <c r="X38" i="2"/>
  <c r="Y38" i="2"/>
  <c r="Z38" i="2"/>
  <c r="AA38" i="2"/>
  <c r="AB38" i="2"/>
  <c r="AC38" i="2"/>
  <c r="AD38" i="2"/>
  <c r="S39" i="2"/>
  <c r="T39" i="2"/>
  <c r="U39" i="2"/>
  <c r="V39" i="2"/>
  <c r="W39" i="2"/>
  <c r="X39" i="2"/>
  <c r="Y39" i="2"/>
  <c r="Z39" i="2"/>
  <c r="AA39" i="2"/>
  <c r="AB39" i="2"/>
  <c r="AC39" i="2"/>
  <c r="AD39" i="2"/>
  <c r="S40" i="2"/>
  <c r="T40" i="2"/>
  <c r="U40" i="2"/>
  <c r="V40" i="2"/>
  <c r="W40" i="2"/>
  <c r="X40" i="2"/>
  <c r="Y40" i="2"/>
  <c r="Z40" i="2"/>
  <c r="AA40" i="2"/>
  <c r="AB40" i="2"/>
  <c r="AC40" i="2"/>
  <c r="AD40" i="2"/>
  <c r="S41" i="2"/>
  <c r="T41" i="2"/>
  <c r="U41" i="2"/>
  <c r="V41" i="2"/>
  <c r="W41" i="2"/>
  <c r="X41" i="2"/>
  <c r="Y41" i="2"/>
  <c r="Z41" i="2"/>
  <c r="AA41" i="2"/>
  <c r="AB41" i="2"/>
  <c r="AC41" i="2"/>
  <c r="AD41" i="2"/>
  <c r="S7" i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S9" i="1"/>
  <c r="T9" i="1"/>
  <c r="U9" i="1"/>
  <c r="V9" i="1"/>
  <c r="W9" i="1"/>
  <c r="X9" i="1"/>
  <c r="Y9" i="1"/>
  <c r="Z9" i="1"/>
  <c r="AA9" i="1"/>
  <c r="AB9" i="1"/>
  <c r="AC9" i="1"/>
  <c r="AD9" i="1"/>
  <c r="S10" i="1"/>
  <c r="T10" i="1"/>
  <c r="U10" i="1"/>
  <c r="V10" i="1"/>
  <c r="W10" i="1"/>
  <c r="X10" i="1"/>
  <c r="Y10" i="1"/>
  <c r="Z10" i="1"/>
  <c r="AA10" i="1"/>
  <c r="AB10" i="1"/>
  <c r="AC10" i="1"/>
  <c r="AD10" i="1"/>
  <c r="S11" i="1"/>
  <c r="T11" i="1"/>
  <c r="U11" i="1"/>
  <c r="V11" i="1"/>
  <c r="W11" i="1"/>
  <c r="X11" i="1"/>
  <c r="Y11" i="1"/>
  <c r="Z11" i="1"/>
  <c r="AA11" i="1"/>
  <c r="AB11" i="1"/>
  <c r="AC11" i="1"/>
  <c r="AD11" i="1"/>
  <c r="S12" i="1"/>
  <c r="T12" i="1"/>
  <c r="U12" i="1"/>
  <c r="V12" i="1"/>
  <c r="W12" i="1"/>
  <c r="X12" i="1"/>
  <c r="Y12" i="1"/>
  <c r="Z12" i="1"/>
  <c r="AA12" i="1"/>
  <c r="AB12" i="1"/>
  <c r="AC12" i="1"/>
  <c r="AD12" i="1"/>
  <c r="S13" i="1"/>
  <c r="T13" i="1"/>
  <c r="U13" i="1"/>
  <c r="V13" i="1"/>
  <c r="W13" i="1"/>
  <c r="X13" i="1"/>
  <c r="Y13" i="1"/>
  <c r="Z13" i="1"/>
  <c r="AA13" i="1"/>
  <c r="AB13" i="1"/>
  <c r="AC13" i="1"/>
  <c r="AD13" i="1"/>
  <c r="S14" i="1"/>
  <c r="T14" i="1"/>
  <c r="U14" i="1"/>
  <c r="V14" i="1"/>
  <c r="W14" i="1"/>
  <c r="X14" i="1"/>
  <c r="Y14" i="1"/>
  <c r="Z14" i="1"/>
  <c r="AA14" i="1"/>
  <c r="AB14" i="1"/>
  <c r="AC14" i="1"/>
  <c r="AD14" i="1"/>
  <c r="S15" i="1"/>
  <c r="T15" i="1"/>
  <c r="U15" i="1"/>
  <c r="V15" i="1"/>
  <c r="W15" i="1"/>
  <c r="X15" i="1"/>
  <c r="Y15" i="1"/>
  <c r="Z15" i="1"/>
  <c r="AA15" i="1"/>
  <c r="AB15" i="1"/>
  <c r="AC15" i="1"/>
  <c r="AD15" i="1"/>
  <c r="S16" i="1"/>
  <c r="T16" i="1"/>
  <c r="U16" i="1"/>
  <c r="V16" i="1"/>
  <c r="W16" i="1"/>
  <c r="X16" i="1"/>
  <c r="Y16" i="1"/>
  <c r="Z16" i="1"/>
  <c r="AA16" i="1"/>
  <c r="AB16" i="1"/>
  <c r="AC16" i="1"/>
  <c r="AD16" i="1"/>
  <c r="S17" i="1"/>
  <c r="T17" i="1"/>
  <c r="U17" i="1"/>
  <c r="V17" i="1"/>
  <c r="W17" i="1"/>
  <c r="X17" i="1"/>
  <c r="Y17" i="1"/>
  <c r="Z17" i="1"/>
  <c r="AA17" i="1"/>
  <c r="AB17" i="1"/>
  <c r="AC17" i="1"/>
  <c r="AD17" i="1"/>
  <c r="S18" i="1"/>
  <c r="T18" i="1"/>
  <c r="U18" i="1"/>
  <c r="V18" i="1"/>
  <c r="W18" i="1"/>
  <c r="X18" i="1"/>
  <c r="Y18" i="1"/>
  <c r="Z18" i="1"/>
  <c r="AA18" i="1"/>
  <c r="AB18" i="1"/>
  <c r="AC18" i="1"/>
  <c r="AD18" i="1"/>
  <c r="S19" i="1"/>
  <c r="T19" i="1"/>
  <c r="U19" i="1"/>
  <c r="V19" i="1"/>
  <c r="W19" i="1"/>
  <c r="X19" i="1"/>
  <c r="Y19" i="1"/>
  <c r="Z19" i="1"/>
  <c r="AA19" i="1"/>
  <c r="AB19" i="1"/>
  <c r="AC19" i="1"/>
  <c r="AD19" i="1"/>
  <c r="S20" i="1"/>
  <c r="T20" i="1"/>
  <c r="U20" i="1"/>
  <c r="V20" i="1"/>
  <c r="W20" i="1"/>
  <c r="X20" i="1"/>
  <c r="Y20" i="1"/>
  <c r="Z20" i="1"/>
  <c r="AA20" i="1"/>
  <c r="AB20" i="1"/>
  <c r="AC20" i="1"/>
  <c r="AD20" i="1"/>
  <c r="S21" i="1"/>
  <c r="T21" i="1"/>
  <c r="U21" i="1"/>
  <c r="V21" i="1"/>
  <c r="W21" i="1"/>
  <c r="X21" i="1"/>
  <c r="Y21" i="1"/>
  <c r="Z21" i="1"/>
  <c r="AA21" i="1"/>
  <c r="AB21" i="1"/>
  <c r="AC21" i="1"/>
  <c r="AD21" i="1"/>
  <c r="S22" i="1"/>
  <c r="T22" i="1"/>
  <c r="U22" i="1"/>
  <c r="V22" i="1"/>
  <c r="W22" i="1"/>
  <c r="X22" i="1"/>
  <c r="Y22" i="1"/>
  <c r="Z22" i="1"/>
  <c r="AA22" i="1"/>
  <c r="AB22" i="1"/>
  <c r="AC22" i="1"/>
  <c r="AD22" i="1"/>
  <c r="S23" i="1"/>
  <c r="T23" i="1"/>
  <c r="U23" i="1"/>
  <c r="V23" i="1"/>
  <c r="W23" i="1"/>
  <c r="X23" i="1"/>
  <c r="Y23" i="1"/>
  <c r="Z23" i="1"/>
  <c r="AA23" i="1"/>
  <c r="AB23" i="1"/>
  <c r="AC23" i="1"/>
  <c r="AD23" i="1"/>
  <c r="S24" i="1"/>
  <c r="T24" i="1"/>
  <c r="U24" i="1"/>
  <c r="V24" i="1"/>
  <c r="W24" i="1"/>
  <c r="X24" i="1"/>
  <c r="Y24" i="1"/>
  <c r="Z24" i="1"/>
  <c r="AA24" i="1"/>
  <c r="AB24" i="1"/>
  <c r="AC24" i="1"/>
  <c r="AD24" i="1"/>
  <c r="S25" i="1"/>
  <c r="T25" i="1"/>
  <c r="U25" i="1"/>
  <c r="V25" i="1"/>
  <c r="W25" i="1"/>
  <c r="X25" i="1"/>
  <c r="Y25" i="1"/>
  <c r="Z25" i="1"/>
  <c r="AA25" i="1"/>
  <c r="AB25" i="1"/>
  <c r="AC25" i="1"/>
  <c r="AD25" i="1"/>
  <c r="S26" i="1"/>
  <c r="T26" i="1"/>
  <c r="U26" i="1"/>
  <c r="V26" i="1"/>
  <c r="W26" i="1"/>
  <c r="X26" i="1"/>
  <c r="Y26" i="1"/>
  <c r="Z26" i="1"/>
  <c r="AA26" i="1"/>
  <c r="AB26" i="1"/>
  <c r="AC26" i="1"/>
  <c r="AD26" i="1"/>
  <c r="S27" i="1"/>
  <c r="T27" i="1"/>
  <c r="U27" i="1"/>
  <c r="V27" i="1"/>
  <c r="W27" i="1"/>
  <c r="X27" i="1"/>
  <c r="Y27" i="1"/>
  <c r="Z27" i="1"/>
  <c r="AA27" i="1"/>
  <c r="AB27" i="1"/>
  <c r="AC27" i="1"/>
  <c r="AD27" i="1"/>
  <c r="S28" i="1"/>
  <c r="T28" i="1"/>
  <c r="U28" i="1"/>
  <c r="V28" i="1"/>
  <c r="W28" i="1"/>
  <c r="X28" i="1"/>
  <c r="Y28" i="1"/>
  <c r="Z28" i="1"/>
  <c r="AA28" i="1"/>
  <c r="AB28" i="1"/>
  <c r="AC28" i="1"/>
  <c r="AD28" i="1"/>
  <c r="S29" i="1"/>
  <c r="T29" i="1"/>
  <c r="U29" i="1"/>
  <c r="V29" i="1"/>
  <c r="W29" i="1"/>
  <c r="X29" i="1"/>
  <c r="Y29" i="1"/>
  <c r="Z29" i="1"/>
  <c r="AA29" i="1"/>
  <c r="AB29" i="1"/>
  <c r="AC29" i="1"/>
  <c r="AD29" i="1"/>
  <c r="S30" i="1"/>
  <c r="T30" i="1"/>
  <c r="U30" i="1"/>
  <c r="V30" i="1"/>
  <c r="W30" i="1"/>
  <c r="X30" i="1"/>
  <c r="Y30" i="1"/>
  <c r="Z30" i="1"/>
  <c r="AA30" i="1"/>
  <c r="AB30" i="1"/>
  <c r="AC30" i="1"/>
  <c r="AD30" i="1"/>
  <c r="S31" i="1"/>
  <c r="T31" i="1"/>
  <c r="U31" i="1"/>
  <c r="V31" i="1"/>
  <c r="W31" i="1"/>
  <c r="X31" i="1"/>
  <c r="Y31" i="1"/>
  <c r="Z31" i="1"/>
  <c r="AA31" i="1"/>
  <c r="AB31" i="1"/>
  <c r="AC31" i="1"/>
  <c r="AD31" i="1"/>
  <c r="S32" i="1"/>
  <c r="T32" i="1"/>
  <c r="U32" i="1"/>
  <c r="V32" i="1"/>
  <c r="W32" i="1"/>
  <c r="X32" i="1"/>
  <c r="Y32" i="1"/>
  <c r="Z32" i="1"/>
  <c r="AA32" i="1"/>
  <c r="AB32" i="1"/>
  <c r="AC32" i="1"/>
  <c r="AD32" i="1"/>
  <c r="S33" i="1"/>
  <c r="T33" i="1"/>
  <c r="U33" i="1"/>
  <c r="V33" i="1"/>
  <c r="W33" i="1"/>
  <c r="X33" i="1"/>
  <c r="Y33" i="1"/>
  <c r="Z33" i="1"/>
  <c r="AA33" i="1"/>
  <c r="AB33" i="1"/>
  <c r="AC33" i="1"/>
  <c r="AD33" i="1"/>
  <c r="S34" i="1"/>
  <c r="T34" i="1"/>
  <c r="U34" i="1"/>
  <c r="V34" i="1"/>
  <c r="W34" i="1"/>
  <c r="X34" i="1"/>
  <c r="Y34" i="1"/>
  <c r="Z34" i="1"/>
  <c r="AA34" i="1"/>
  <c r="AB34" i="1"/>
  <c r="AC34" i="1"/>
  <c r="AD34" i="1"/>
  <c r="S35" i="1"/>
  <c r="T35" i="1"/>
  <c r="U35" i="1"/>
  <c r="V35" i="1"/>
  <c r="W35" i="1"/>
  <c r="X35" i="1"/>
  <c r="Y35" i="1"/>
  <c r="Z35" i="1"/>
  <c r="AA35" i="1"/>
  <c r="AB35" i="1"/>
  <c r="AC35" i="1"/>
  <c r="AD35" i="1"/>
  <c r="S36" i="1"/>
  <c r="T36" i="1"/>
  <c r="U36" i="1"/>
  <c r="V36" i="1"/>
  <c r="W36" i="1"/>
  <c r="X36" i="1"/>
  <c r="Y36" i="1"/>
  <c r="Z36" i="1"/>
  <c r="AA36" i="1"/>
  <c r="AB36" i="1"/>
  <c r="AC36" i="1"/>
  <c r="AD36" i="1"/>
  <c r="S37" i="1"/>
  <c r="T37" i="1"/>
  <c r="U37" i="1"/>
  <c r="V37" i="1"/>
  <c r="W37" i="1"/>
  <c r="X37" i="1"/>
  <c r="Y37" i="1"/>
  <c r="Z37" i="1"/>
  <c r="AA37" i="1"/>
  <c r="AB37" i="1"/>
  <c r="AC37" i="1"/>
  <c r="AD37" i="1"/>
  <c r="S38" i="1"/>
  <c r="T38" i="1"/>
  <c r="U38" i="1"/>
  <c r="V38" i="1"/>
  <c r="W38" i="1"/>
  <c r="X38" i="1"/>
  <c r="Y38" i="1"/>
  <c r="Z38" i="1"/>
  <c r="AA38" i="1"/>
  <c r="AB38" i="1"/>
  <c r="AC38" i="1"/>
  <c r="AD38" i="1"/>
  <c r="S39" i="1"/>
  <c r="T39" i="1"/>
  <c r="U39" i="1"/>
  <c r="V39" i="1"/>
  <c r="W39" i="1"/>
  <c r="X39" i="1"/>
  <c r="Y39" i="1"/>
  <c r="Z39" i="1"/>
  <c r="AA39" i="1"/>
  <c r="AB39" i="1"/>
  <c r="AC39" i="1"/>
  <c r="AD39" i="1"/>
  <c r="S40" i="1"/>
  <c r="T40" i="1"/>
  <c r="U40" i="1"/>
  <c r="V40" i="1"/>
  <c r="W40" i="1"/>
  <c r="X40" i="1"/>
  <c r="Y40" i="1"/>
  <c r="Z40" i="1"/>
  <c r="AA40" i="1"/>
  <c r="AB40" i="1"/>
  <c r="AC40" i="1"/>
  <c r="AD40" i="1"/>
  <c r="S41" i="1"/>
  <c r="T41" i="1"/>
  <c r="U41" i="1"/>
  <c r="V41" i="1"/>
  <c r="W41" i="1"/>
  <c r="X41" i="1"/>
  <c r="Y41" i="1"/>
  <c r="Z41" i="1"/>
  <c r="AA41" i="1"/>
  <c r="AB41" i="1"/>
  <c r="AC41" i="1"/>
  <c r="AD41" i="1"/>
  <c r="T6" i="2"/>
  <c r="U6" i="2"/>
  <c r="V6" i="2"/>
  <c r="W6" i="2"/>
  <c r="X6" i="2"/>
  <c r="Y6" i="2"/>
  <c r="Z6" i="2"/>
  <c r="AA6" i="2"/>
  <c r="AB6" i="2"/>
  <c r="AC6" i="2"/>
  <c r="AD6" i="2"/>
  <c r="T6" i="1"/>
  <c r="U6" i="1"/>
  <c r="V6" i="1"/>
  <c r="W6" i="1"/>
  <c r="X6" i="1"/>
  <c r="Y6" i="1"/>
  <c r="Z6" i="1"/>
  <c r="AA6" i="1"/>
  <c r="AB6" i="1"/>
  <c r="AC6" i="1"/>
  <c r="AD6" i="1"/>
  <c r="S6" i="2"/>
  <c r="S6" i="1"/>
</calcChain>
</file>

<file path=xl/sharedStrings.xml><?xml version="1.0" encoding="utf-8"?>
<sst xmlns="http://schemas.openxmlformats.org/spreadsheetml/2006/main" count="161" uniqueCount="102">
  <si>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</si>
  <si>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</si>
  <si>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</si>
  <si>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</si>
  <si>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</si>
  <si>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</si>
  <si>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</si>
  <si>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</si>
  <si>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</si>
  <si>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</si>
  <si>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</si>
  <si>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</si>
  <si>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</si>
  <si>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</si>
  <si>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</si>
  <si>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</si>
  <si>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</si>
  <si>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</si>
  <si>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</si>
  <si>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</si>
  <si>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</si>
  <si>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</si>
  <si>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</si>
  <si>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</si>
  <si>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</si>
  <si>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</si>
  <si>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</si>
  <si>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r>
      <rPr>
        <sz val="5"/>
        <rFont val="Arial MT"/>
        <family val="2"/>
      </rPr>
      <t>Penyusunan Dokumen Perencanaan Perangkat
Daerah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</si>
  <si>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</si>
  <si>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</si>
  <si>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</si>
  <si>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</si>
  <si>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</si>
  <si>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</si>
  <si>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</si>
  <si>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</si>
  <si>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</si>
  <si>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</si>
  <si>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</si>
  <si>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</si>
  <si>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b/>
        <sz val="5"/>
        <rFont val="Arial"/>
        <family val="2"/>
      </rPr>
      <t>ALOKASI PENDAPATAN DAN PENERIMAAN PEMBIAYAAN</t>
    </r>
  </si>
  <si>
    <r>
      <rPr>
        <b/>
        <sz val="5"/>
        <rFont val="Arial"/>
        <family val="2"/>
      </rPr>
      <t>4.01.0.00.0.00.01.0000</t>
    </r>
  </si>
  <si>
    <r>
      <rPr>
        <b/>
        <sz val="5"/>
        <rFont val="Arial"/>
        <family val="2"/>
      </rPr>
      <t>SEKRETARIAT DAERAH</t>
    </r>
  </si>
  <si>
    <r>
      <rPr>
        <b/>
        <sz val="5"/>
        <rFont val="Arial"/>
        <family val="2"/>
      </rPr>
      <t>4.1</t>
    </r>
  </si>
  <si>
    <r>
      <rPr>
        <b/>
        <sz val="5"/>
        <rFont val="Arial"/>
        <family val="2"/>
      </rPr>
      <t>PENDAPATAN ASLI DAERAH (PAD)</t>
    </r>
  </si>
  <si>
    <r>
      <rPr>
        <b/>
        <sz val="5"/>
        <rFont val="Arial"/>
        <family val="2"/>
      </rPr>
      <t>Retribusi Daerah</t>
    </r>
  </si>
  <si>
    <r>
      <rPr>
        <b/>
        <sz val="5"/>
        <rFont val="Arial"/>
        <family val="2"/>
      </rPr>
      <t xml:space="preserve">JUMLAH ALOKASI KAS YANG TERSEDIA DARI PENDAPATAN DAN
</t>
    </r>
    <r>
      <rPr>
        <b/>
        <sz val="5"/>
        <rFont val="Arial"/>
        <family val="2"/>
      </rPr>
      <t>PENERIMAAN PEMBIAYAAN PER BULAN</t>
    </r>
  </si>
  <si>
    <r>
      <rPr>
        <b/>
        <sz val="5"/>
        <rFont val="Arial"/>
        <family val="2"/>
      </rPr>
      <t xml:space="preserve">JUMLAH ALOKASI KAS YANG TERSEDIA DARI PENDAPATAN DAN
</t>
    </r>
    <r>
      <rPr>
        <b/>
        <sz val="5"/>
        <rFont val="Arial"/>
        <family val="2"/>
      </rPr>
      <t>PENERIMAAN PEMBIAYAAN PER TRIWULAN</t>
    </r>
  </si>
  <si>
    <r>
      <rPr>
        <b/>
        <sz val="5"/>
        <rFont val="Arial"/>
        <family val="2"/>
      </rPr>
      <t xml:space="preserve">JUMLAH ALOKASI KAS YANG TERSEDIA DARI PENDAPATAN DAN
</t>
    </r>
    <r>
      <rPr>
        <b/>
        <sz val="5"/>
        <rFont val="Arial"/>
        <family val="2"/>
      </rPr>
      <t>PENERIMAAN PEMBIAYAAN PER SEMESTER</t>
    </r>
  </si>
  <si>
    <r>
      <rPr>
        <b/>
        <sz val="5"/>
        <rFont val="Arial"/>
        <family val="2"/>
      </rPr>
      <t>ALOKASI BELANJA DAN PENGELUARAN PEMBIAYAAN</t>
    </r>
  </si>
  <si>
    <r>
      <rPr>
        <b/>
        <sz val="5"/>
        <rFont val="Arial"/>
        <family val="2"/>
      </rPr>
      <t>4.01.0.00.0.00.01.0001</t>
    </r>
  </si>
  <si>
    <r>
      <rPr>
        <b/>
        <sz val="5"/>
        <rFont val="Arial"/>
        <family val="2"/>
      </rPr>
      <t>BIRO UMUM</t>
    </r>
  </si>
  <si>
    <r>
      <rPr>
        <b/>
        <sz val="5"/>
        <rFont val="Arial"/>
        <family val="2"/>
      </rPr>
      <t>4.01</t>
    </r>
  </si>
  <si>
    <r>
      <rPr>
        <b/>
        <sz val="5"/>
        <rFont val="Arial"/>
        <family val="2"/>
      </rPr>
      <t xml:space="preserve">PROGRAM PENUNJANG URUSAN
</t>
    </r>
    <r>
      <rPr>
        <b/>
        <sz val="5"/>
        <rFont val="Arial"/>
        <family val="2"/>
      </rPr>
      <t>PEMERINTAHAN DAERAH PROVINSI</t>
    </r>
  </si>
  <si>
    <r>
      <rPr>
        <b/>
        <sz val="5"/>
        <rFont val="Arial"/>
        <family val="2"/>
      </rPr>
      <t>4.01.01.1.01</t>
    </r>
  </si>
  <si>
    <r>
      <rPr>
        <b/>
        <sz val="5"/>
        <rFont val="Arial"/>
        <family val="2"/>
      </rPr>
      <t xml:space="preserve">Perencanaan, Penganggaran, dan Evaluasi
</t>
    </r>
    <r>
      <rPr>
        <b/>
        <sz val="5"/>
        <rFont val="Arial"/>
        <family val="2"/>
      </rPr>
      <t>Kinerja Perangkat Daerah</t>
    </r>
  </si>
  <si>
    <r>
      <rPr>
        <sz val="5"/>
        <rFont val="Arial MT"/>
        <family val="2"/>
      </rPr>
      <t xml:space="preserve">Penyusunan Dokumen Perencanaan Perangkat
</t>
    </r>
    <r>
      <rPr>
        <sz val="5"/>
        <rFont val="Arial MT"/>
        <family val="2"/>
      </rPr>
      <t>Daerah</t>
    </r>
  </si>
  <si>
    <r>
      <rPr>
        <sz val="5"/>
        <rFont val="Arial MT"/>
        <family val="2"/>
      </rPr>
      <t>4.01.01.1.01.0006</t>
    </r>
  </si>
  <si>
    <r>
      <rPr>
        <sz val="5"/>
        <rFont val="Arial MT"/>
        <family val="2"/>
      </rPr>
      <t xml:space="preserve">Koordinasi dan Penyusunan Laporan Capaian
</t>
    </r>
    <r>
      <rPr>
        <sz val="5"/>
        <rFont val="Arial MT"/>
        <family val="2"/>
      </rPr>
      <t>Kinerja dan Ikhtisar Realisasi Kinerja SKPD</t>
    </r>
  </si>
  <si>
    <r>
      <rPr>
        <sz val="5"/>
        <rFont val="Arial MT"/>
        <family val="2"/>
      </rPr>
      <t>4.01.01.1.01.0007</t>
    </r>
  </si>
  <si>
    <r>
      <rPr>
        <sz val="5"/>
        <rFont val="Arial MT"/>
        <family val="2"/>
      </rPr>
      <t>Evaluasi Kinerja Perangkat Daerah</t>
    </r>
  </si>
  <si>
    <r>
      <rPr>
        <b/>
        <sz val="5"/>
        <rFont val="Arial"/>
        <family val="2"/>
      </rPr>
      <t>4.01.01.1.02</t>
    </r>
  </si>
  <si>
    <r>
      <rPr>
        <b/>
        <sz val="5"/>
        <rFont val="Arial"/>
        <family val="2"/>
      </rPr>
      <t>Administrasi Keuangan Perangkat Daerah</t>
    </r>
  </si>
  <si>
    <r>
      <rPr>
        <sz val="5"/>
        <rFont val="Arial MT"/>
        <family val="2"/>
      </rPr>
      <t>4.01.01.1.02.0001</t>
    </r>
  </si>
  <si>
    <r>
      <rPr>
        <sz val="5"/>
        <rFont val="Arial MT"/>
        <family val="2"/>
      </rPr>
      <t>Penyediaan Gaji dan Tunjangan ASN</t>
    </r>
  </si>
  <si>
    <r>
      <rPr>
        <sz val="5"/>
        <rFont val="Arial MT"/>
        <family val="2"/>
      </rPr>
      <t>4.01.01.1.02.0003</t>
    </r>
  </si>
  <si>
    <r>
      <rPr>
        <sz val="5"/>
        <rFont val="Arial MT"/>
        <family val="2"/>
      </rPr>
      <t xml:space="preserve">Pelaksanaan Penatausahaan dan
</t>
    </r>
    <r>
      <rPr>
        <sz val="5"/>
        <rFont val="Arial MT"/>
        <family val="2"/>
      </rPr>
      <t>Pengujian/Verifikasi Keuangan SKPD</t>
    </r>
  </si>
  <si>
    <r>
      <rPr>
        <sz val="5"/>
        <rFont val="Arial MT"/>
        <family val="2"/>
      </rPr>
      <t>4.01.01.1.02.0007</t>
    </r>
  </si>
  <si>
    <r>
      <rPr>
        <sz val="5"/>
        <rFont val="Arial MT"/>
        <family val="2"/>
      </rPr>
      <t xml:space="preserve">Koordinasi dan Penyusunan Laporan Keuangan
</t>
    </r>
    <r>
      <rPr>
        <sz val="5"/>
        <rFont val="Arial MT"/>
        <family val="2"/>
      </rPr>
      <t>Bulanan/ Triwulanan/Semesteran SKPD</t>
    </r>
  </si>
  <si>
    <r>
      <rPr>
        <b/>
        <sz val="5"/>
        <rFont val="Arial"/>
        <family val="2"/>
      </rPr>
      <t>4.01.01.1.03</t>
    </r>
  </si>
  <si>
    <r>
      <rPr>
        <b/>
        <sz val="5"/>
        <rFont val="Arial"/>
        <family val="2"/>
      </rPr>
      <t xml:space="preserve">Administrasi Barang Milik Daerah pada
</t>
    </r>
    <r>
      <rPr>
        <b/>
        <sz val="5"/>
        <rFont val="Arial"/>
        <family val="2"/>
      </rPr>
      <t>Perangkat Daerah</t>
    </r>
  </si>
  <si>
    <r>
      <rPr>
        <sz val="5"/>
        <rFont val="Arial MT"/>
        <family val="2"/>
      </rPr>
      <t>4.01.01.1.03.0002</t>
    </r>
  </si>
  <si>
    <r>
      <rPr>
        <sz val="5"/>
        <rFont val="Arial MT"/>
        <family val="2"/>
      </rPr>
      <t>Pengamanan Barang Milik Daerah SKPD</t>
    </r>
  </si>
  <si>
    <r>
      <rPr>
        <sz val="5"/>
        <rFont val="Arial MT"/>
        <family val="2"/>
      </rPr>
      <t>4.01.01.1.03.0006</t>
    </r>
  </si>
  <si>
    <r>
      <rPr>
        <sz val="5"/>
        <rFont val="Arial MT"/>
        <family val="2"/>
      </rPr>
      <t xml:space="preserve">Penatausahaan Barang Milik Daerah pada
</t>
    </r>
    <r>
      <rPr>
        <sz val="5"/>
        <rFont val="Arial MT"/>
        <family val="2"/>
      </rPr>
      <t>SKPD</t>
    </r>
  </si>
  <si>
    <r>
      <rPr>
        <b/>
        <sz val="5"/>
        <rFont val="Arial"/>
        <family val="2"/>
      </rPr>
      <t>4.01.01.1.05</t>
    </r>
  </si>
  <si>
    <r>
      <rPr>
        <b/>
        <sz val="5"/>
        <rFont val="Arial"/>
        <family val="2"/>
      </rPr>
      <t xml:space="preserve">Administrasi Kepegawaian Perangkat
</t>
    </r>
    <r>
      <rPr>
        <b/>
        <sz val="5"/>
        <rFont val="Arial"/>
        <family val="2"/>
      </rPr>
      <t>Daerah</t>
    </r>
  </si>
  <si>
    <r>
      <rPr>
        <sz val="5"/>
        <rFont val="Arial MT"/>
        <family val="2"/>
      </rPr>
      <t>4.01.01.1.05.0009</t>
    </r>
  </si>
  <si>
    <r>
      <rPr>
        <sz val="5"/>
        <rFont val="Arial MT"/>
        <family val="2"/>
      </rPr>
      <t xml:space="preserve">Pendidikan dan Pelatihan Pegawai
</t>
    </r>
    <r>
      <rPr>
        <sz val="5"/>
        <rFont val="Arial MT"/>
        <family val="2"/>
      </rPr>
      <t>Berdasarkan Tugas dan Fungsi</t>
    </r>
  </si>
  <si>
    <r>
      <rPr>
        <b/>
        <sz val="5"/>
        <rFont val="Arial"/>
        <family val="2"/>
      </rPr>
      <t>4.01.01.1.06</t>
    </r>
  </si>
  <si>
    <r>
      <rPr>
        <b/>
        <sz val="5"/>
        <rFont val="Arial"/>
        <family val="2"/>
      </rPr>
      <t>Administrasi Umum Perangkat Daerah</t>
    </r>
  </si>
  <si>
    <r>
      <rPr>
        <sz val="5"/>
        <rFont val="Arial MT"/>
        <family val="2"/>
      </rPr>
      <t>4.01.01.1.06.0001</t>
    </r>
  </si>
  <si>
    <r>
      <rPr>
        <sz val="5"/>
        <rFont val="Arial MT"/>
        <family val="2"/>
      </rPr>
      <t xml:space="preserve">Penyediaan Komponen Instalasi
</t>
    </r>
    <r>
      <rPr>
        <sz val="5"/>
        <rFont val="Arial MT"/>
        <family val="2"/>
      </rPr>
      <t>Listrik/Penerangan Bangunan Kantor</t>
    </r>
  </si>
  <si>
    <r>
      <rPr>
        <sz val="5"/>
        <rFont val="Arial MT"/>
        <family val="2"/>
      </rPr>
      <t>4.01.01.1.06.0002</t>
    </r>
  </si>
  <si>
    <r>
      <rPr>
        <sz val="5"/>
        <rFont val="Arial MT"/>
        <family val="2"/>
      </rPr>
      <t xml:space="preserve">Penyediaan Peralatan dan Perlengkapan
</t>
    </r>
    <r>
      <rPr>
        <sz val="5"/>
        <rFont val="Arial MT"/>
        <family val="2"/>
      </rPr>
      <t>Kantor</t>
    </r>
  </si>
  <si>
    <r>
      <rPr>
        <sz val="5"/>
        <rFont val="Arial MT"/>
        <family val="2"/>
      </rPr>
      <t>4.01.01.1.06.0003</t>
    </r>
  </si>
  <si>
    <r>
      <rPr>
        <sz val="5"/>
        <rFont val="Arial MT"/>
        <family val="2"/>
      </rPr>
      <t>Penyediaan Peralatan Rumah Tangga</t>
    </r>
  </si>
  <si>
    <r>
      <rPr>
        <sz val="5"/>
        <rFont val="Arial MT"/>
        <family val="2"/>
      </rPr>
      <t>4.01.01.1.06.0004</t>
    </r>
  </si>
  <si>
    <r>
      <rPr>
        <sz val="5"/>
        <rFont val="Arial MT"/>
        <family val="2"/>
      </rPr>
      <t>Penyediaan Bahan Logistik Kantor</t>
    </r>
  </si>
  <si>
    <r>
      <rPr>
        <sz val="5"/>
        <rFont val="Arial MT"/>
        <family val="2"/>
      </rPr>
      <t>4.01.01.1.06.0005</t>
    </r>
  </si>
  <si>
    <r>
      <rPr>
        <sz val="5"/>
        <rFont val="Arial MT"/>
        <family val="2"/>
      </rPr>
      <t>Penyediaan Barang Cetakan dan Penggandaan</t>
    </r>
  </si>
  <si>
    <r>
      <rPr>
        <sz val="5"/>
        <rFont val="Arial MT"/>
        <family val="2"/>
      </rPr>
      <t>4.01.01.1.06.0006</t>
    </r>
  </si>
  <si>
    <r>
      <rPr>
        <sz val="5"/>
        <rFont val="Arial MT"/>
        <family val="2"/>
      </rPr>
      <t xml:space="preserve">Penyediaan Bahan Bacaan dan Peraturan
</t>
    </r>
    <r>
      <rPr>
        <sz val="5"/>
        <rFont val="Arial MT"/>
        <family val="2"/>
      </rPr>
      <t>Perundang-Undangan</t>
    </r>
  </si>
  <si>
    <r>
      <rPr>
        <sz val="5"/>
        <rFont val="Arial MT"/>
        <family val="2"/>
      </rPr>
      <t>4.01.01.1.06.0009</t>
    </r>
  </si>
  <si>
    <r>
      <rPr>
        <sz val="5"/>
        <rFont val="Arial MT"/>
        <family val="2"/>
      </rPr>
      <t xml:space="preserve">Penyelenggaraan Rapat Koordinasi dan
</t>
    </r>
    <r>
      <rPr>
        <sz val="5"/>
        <rFont val="Arial MT"/>
        <family val="2"/>
      </rPr>
      <t>Konsultasi SKPD</t>
    </r>
  </si>
  <si>
    <r>
      <rPr>
        <sz val="5"/>
        <rFont val="Arial MT"/>
        <family val="2"/>
      </rPr>
      <t>4.01.01.1.06.0010</t>
    </r>
  </si>
  <si>
    <r>
      <rPr>
        <sz val="5"/>
        <rFont val="Arial MT"/>
        <family val="2"/>
      </rPr>
      <t>Penatausahaan Arsip Dinamis pada SKPD</t>
    </r>
  </si>
  <si>
    <r>
      <rPr>
        <b/>
        <sz val="5"/>
        <rFont val="Arial"/>
        <family val="2"/>
      </rPr>
      <t>4.01.01.1.07</t>
    </r>
  </si>
  <si>
    <r>
      <rPr>
        <b/>
        <sz val="5"/>
        <rFont val="Arial"/>
        <family val="2"/>
      </rPr>
      <t xml:space="preserve">Pengadaan Barang Milik Daerah Penunjang
</t>
    </r>
    <r>
      <rPr>
        <b/>
        <sz val="5"/>
        <rFont val="Arial"/>
        <family val="2"/>
      </rPr>
      <t>Urusan Pemerintah Daerah</t>
    </r>
  </si>
  <si>
    <r>
      <rPr>
        <b/>
        <sz val="5"/>
        <rFont val="Arial"/>
        <family val="2"/>
      </rPr>
      <t xml:space="preserve">JUMLAH ALOKASI KAS YANG TERSEDIA DARI BELANJA DAN
</t>
    </r>
    <r>
      <rPr>
        <b/>
        <sz val="5"/>
        <rFont val="Arial"/>
        <family val="2"/>
      </rPr>
      <t>PENGELUARAN PEMBIAYAAN PER SEMESTER</t>
    </r>
  </si>
  <si>
    <r>
      <rPr>
        <b/>
        <sz val="5"/>
        <rFont val="Arial"/>
        <family val="2"/>
      </rPr>
      <t xml:space="preserve">Padang,Tanggal 06 Oktober 2025 Disiapkan Oleh
</t>
    </r>
    <r>
      <rPr>
        <b/>
        <sz val="5"/>
        <rFont val="Arial"/>
        <family val="2"/>
      </rPr>
      <t>SEKRETARIS DAERAH</t>
    </r>
  </si>
  <si>
    <r>
      <rPr>
        <b/>
        <u/>
        <sz val="5"/>
        <rFont val="Arial"/>
        <family val="2"/>
      </rPr>
      <t xml:space="preserve">ARRY YUSWANDI, SKM, MKM
</t>
    </r>
    <r>
      <rPr>
        <b/>
        <sz val="5"/>
        <rFont val="Arial"/>
        <family val="2"/>
      </rPr>
      <t>NIP. 197508101999031006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</si>
</sst>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.d\.yy;@"/>
  </numFmts>
  <fonts count="13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b/>
      <sz val="5"/>
      <name val="Arial"/>
    </font>
    <font>
      <b/>
      <sz val="5"/>
      <color rgb="FF000000"/>
      <name val="Arial"/>
      <family val="2"/>
    </font>
    <font>
      <b/>
      <u/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BE3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4" fontId="11" fillId="3" borderId="1" xfId="0" applyNumberFormat="1" applyFont="1" applyFill="1" applyBorder="1" applyAlignment="1">
      <alignment horizontal="right" vertical="top" shrinkToFit="1"/>
    </xf>
    <xf numFmtId="2" fontId="11" fillId="3" borderId="1" xfId="0" applyNumberFormat="1" applyFont="1" applyFill="1" applyBorder="1" applyAlignment="1">
      <alignment horizontal="right" vertical="top" shrinkToFit="1"/>
    </xf>
    <xf numFmtId="0" fontId="10" fillId="0" borderId="1" xfId="0" applyFont="1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top" shrinkToFit="1"/>
    </xf>
    <xf numFmtId="2" fontId="11" fillId="0" borderId="1" xfId="0" applyNumberFormat="1" applyFont="1" applyFill="1" applyBorder="1" applyAlignment="1">
      <alignment horizontal="right" vertical="top" shrinkToFit="1"/>
    </xf>
    <xf numFmtId="164" fontId="11" fillId="0" borderId="1" xfId="0" applyNumberFormat="1" applyFont="1" applyFill="1" applyBorder="1" applyAlignment="1">
      <alignment horizontal="left" vertical="top" shrinkToFit="1"/>
    </xf>
    <xf numFmtId="0" fontId="0" fillId="2" borderId="5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4" fontId="11" fillId="2" borderId="1" xfId="0" applyNumberFormat="1" applyFont="1" applyFill="1" applyBorder="1" applyAlignment="1">
      <alignment horizontal="right" vertical="center" shrinkToFit="1"/>
    </xf>
    <xf numFmtId="2" fontId="11" fillId="2" borderId="1" xfId="0" applyNumberFormat="1" applyFont="1" applyFill="1" applyBorder="1" applyAlignment="1">
      <alignment horizontal="right" vertical="center" shrinkToFit="1"/>
    </xf>
    <xf numFmtId="4" fontId="11" fillId="2" borderId="5" xfId="0" applyNumberFormat="1" applyFont="1" applyFill="1" applyBorder="1" applyAlignment="1">
      <alignment horizontal="right" vertical="center" shrinkToFit="1"/>
    </xf>
    <xf numFmtId="4" fontId="11" fillId="2" borderId="6" xfId="0" applyNumberFormat="1" applyFont="1" applyFill="1" applyBorder="1" applyAlignment="1">
      <alignment horizontal="right" vertical="center" shrinkToFit="1"/>
    </xf>
    <xf numFmtId="4" fontId="11" fillId="2" borderId="7" xfId="0" applyNumberFormat="1" applyFont="1" applyFill="1" applyBorder="1" applyAlignment="1">
      <alignment horizontal="right" vertical="center" shrinkToFit="1"/>
    </xf>
    <xf numFmtId="2" fontId="11" fillId="2" borderId="5" xfId="0" applyNumberFormat="1" applyFont="1" applyFill="1" applyBorder="1" applyAlignment="1">
      <alignment horizontal="right" vertical="center" shrinkToFit="1"/>
    </xf>
    <xf numFmtId="2" fontId="11" fillId="2" borderId="6" xfId="0" applyNumberFormat="1" applyFont="1" applyFill="1" applyBorder="1" applyAlignment="1">
      <alignment horizontal="right" vertical="center" shrinkToFit="1"/>
    </xf>
    <xf numFmtId="2" fontId="11" fillId="2" borderId="7" xfId="0" applyNumberFormat="1" applyFont="1" applyFill="1" applyBorder="1" applyAlignment="1">
      <alignment horizontal="right" vertical="center" shrinkToFit="1"/>
    </xf>
    <xf numFmtId="0" fontId="0" fillId="2" borderId="1" xfId="0" applyFill="1" applyBorder="1" applyAlignment="1">
      <alignment horizontal="left" wrapText="1"/>
    </xf>
    <xf numFmtId="164" fontId="11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center" shrinkToFit="1"/>
    </xf>
    <xf numFmtId="0" fontId="10" fillId="0" borderId="1" xfId="0" applyFont="1" applyFill="1" applyBorder="1" applyAlignment="1">
      <alignment horizontal="left" vertical="center" wrapText="1"/>
    </xf>
    <xf numFmtId="2" fontId="11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  <xf numFmtId="4" fontId="11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topLeftCell="A7" zoomScale="115" zoomScaleNormal="115" workbookViewId="0">
      <selection activeCell="C16" sqref="C16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1"/>
    </row>
    <row r="2" spans="1:30" ht="34.35" customHeight="1" x14ac:dyDescent="0.2">
      <c r="B2" s="1"/>
      <c r="C2" s="1"/>
      <c r="D2" s="1"/>
      <c r="E2" s="1"/>
      <c r="F2" s="1"/>
      <c r="G2" s="36" t="s">
        <v>29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6" t="s">
        <v>30</v>
      </c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s="5" customFormat="1" ht="12.6" customHeight="1" x14ac:dyDescent="0.2">
      <c r="A3" s="34" t="s">
        <v>28</v>
      </c>
      <c r="B3" s="34" t="s">
        <v>3</v>
      </c>
      <c r="C3" s="38" t="s">
        <v>4</v>
      </c>
      <c r="D3" s="41" t="s">
        <v>5</v>
      </c>
      <c r="E3" s="44" t="s">
        <v>6</v>
      </c>
      <c r="F3" s="47" t="s">
        <v>7</v>
      </c>
      <c r="G3" s="31" t="s">
        <v>8</v>
      </c>
      <c r="H3" s="32"/>
      <c r="I3" s="32"/>
      <c r="J3" s="32"/>
      <c r="K3" s="32"/>
      <c r="L3" s="33"/>
      <c r="M3" s="31" t="s">
        <v>9</v>
      </c>
      <c r="N3" s="32"/>
      <c r="O3" s="32"/>
      <c r="P3" s="32"/>
      <c r="Q3" s="32"/>
      <c r="R3" s="33"/>
      <c r="S3" s="31" t="s">
        <v>8</v>
      </c>
      <c r="T3" s="32"/>
      <c r="U3" s="32"/>
      <c r="V3" s="32"/>
      <c r="W3" s="32"/>
      <c r="X3" s="33"/>
      <c r="Y3" s="31" t="s">
        <v>9</v>
      </c>
      <c r="Z3" s="32"/>
      <c r="AA3" s="32"/>
      <c r="AB3" s="32"/>
      <c r="AC3" s="32"/>
      <c r="AD3" s="33"/>
    </row>
    <row r="4" spans="1:30" s="5" customFormat="1" ht="12.6" customHeight="1" x14ac:dyDescent="0.2">
      <c r="A4" s="34"/>
      <c r="B4" s="34"/>
      <c r="C4" s="39"/>
      <c r="D4" s="42"/>
      <c r="E4" s="45"/>
      <c r="F4" s="48"/>
      <c r="G4" s="31" t="s">
        <v>10</v>
      </c>
      <c r="H4" s="32"/>
      <c r="I4" s="33"/>
      <c r="J4" s="31" t="s">
        <v>11</v>
      </c>
      <c r="K4" s="32"/>
      <c r="L4" s="33"/>
      <c r="M4" s="31" t="s">
        <v>12</v>
      </c>
      <c r="N4" s="32"/>
      <c r="O4" s="33"/>
      <c r="P4" s="31" t="s">
        <v>13</v>
      </c>
      <c r="Q4" s="32"/>
      <c r="R4" s="33"/>
      <c r="S4" s="31" t="s">
        <v>10</v>
      </c>
      <c r="T4" s="32"/>
      <c r="U4" s="33"/>
      <c r="V4" s="31" t="s">
        <v>11</v>
      </c>
      <c r="W4" s="32"/>
      <c r="X4" s="33"/>
      <c r="Y4" s="31" t="s">
        <v>12</v>
      </c>
      <c r="Z4" s="32"/>
      <c r="AA4" s="33"/>
      <c r="AB4" s="31" t="s">
        <v>13</v>
      </c>
      <c r="AC4" s="32"/>
      <c r="AD4" s="33"/>
    </row>
    <row r="5" spans="1:30" s="5" customFormat="1" ht="13.35" customHeight="1" x14ac:dyDescent="0.2">
      <c r="A5" s="34"/>
      <c r="B5" s="34"/>
      <c r="C5" s="40"/>
      <c r="D5" s="43"/>
      <c r="E5" s="46"/>
      <c r="F5" s="49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30" t="s">
        <v>32</v>
      </c>
      <c r="T5" s="30" t="s">
        <v>31</v>
      </c>
      <c r="U5" s="30" t="s">
        <v>33</v>
      </c>
      <c r="V5" s="30" t="s">
        <v>17</v>
      </c>
      <c r="W5" s="30" t="s">
        <v>34</v>
      </c>
      <c r="X5" s="30" t="s">
        <v>35</v>
      </c>
      <c r="Y5" s="30" t="s">
        <v>36</v>
      </c>
      <c r="Z5" s="30" t="s">
        <v>37</v>
      </c>
      <c r="AA5" s="30" t="s">
        <v>22</v>
      </c>
      <c r="AB5" s="30" t="s">
        <v>38</v>
      </c>
      <c r="AC5" s="30" t="s">
        <v>24</v>
      </c>
      <c r="AD5" s="30" t="s">
        <v>39</v>
      </c>
    </row>
    <row r="6" spans="1:30" ht="22.5" customHeight="1" x14ac:dyDescent="0.2">
      <c r="B6" s="22"/>
      <c r="C6" s="2" t="s">
        <v>2</v>
      </c>
      <c r="D6" s="23" t="s">
        <v>27</v>
      </c>
      <c r="E6" s="3">
        <v>4880000</v>
      </c>
      <c r="F6" s="3">
        <v>4880000</v>
      </c>
      <c r="G6" s="4">
        <v>0</v>
      </c>
      <c r="H6" s="3">
        <v>4560000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320000</v>
      </c>
      <c r="R6" s="4">
        <v>0</v>
      </c>
      <c r="S6" s="28">
        <f>G6/$E6*100</f>
        <v>0</v>
      </c>
      <c r="T6" s="28">
        <f t="shared" ref="T6:AD6" si="0">H6/$E6*100</f>
        <v>93.442622950819683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6.557377049180328</v>
      </c>
      <c r="AD6" s="28">
        <f t="shared" si="0"/>
        <v>0</v>
      </c>
    </row>
    <row r="7" spans="1:30" x14ac:dyDescent="0.2">
      <c r="C7" s="54" t="s">
        <v>40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6"/>
      <c r="S7" s="28" t="e">
        <f t="shared" ref="S7:S41" si="1">G7/$E7*100</f>
        <v>#DIV/0!</v>
      </c>
      <c r="T7" s="28" t="e">
        <f t="shared" ref="T7:T41" si="2">H7/$E7*100</f>
        <v>#DIV/0!</v>
      </c>
      <c r="U7" s="28" t="e">
        <f t="shared" ref="U7:U41" si="3">I7/$E7*100</f>
        <v>#DIV/0!</v>
      </c>
      <c r="V7" s="28" t="e">
        <f t="shared" ref="V7:V41" si="4">J7/$E7*100</f>
        <v>#DIV/0!</v>
      </c>
      <c r="W7" s="28" t="e">
        <f t="shared" ref="W7:W41" si="5">K7/$E7*100</f>
        <v>#DIV/0!</v>
      </c>
      <c r="X7" s="28" t="e">
        <f t="shared" ref="X7:X41" si="6">L7/$E7*100</f>
        <v>#DIV/0!</v>
      </c>
      <c r="Y7" s="28" t="e">
        <f t="shared" ref="Y7:Y41" si="7">M7/$E7*100</f>
        <v>#DIV/0!</v>
      </c>
      <c r="Z7" s="28" t="e">
        <f t="shared" ref="Z7:Z41" si="8">N7/$E7*100</f>
        <v>#DIV/0!</v>
      </c>
      <c r="AA7" s="28" t="e">
        <f t="shared" ref="AA7:AA41" si="9">O7/$E7*100</f>
        <v>#DIV/0!</v>
      </c>
      <c r="AB7" s="28" t="e">
        <f t="shared" ref="AB7:AB41" si="10">P7/$E7*100</f>
        <v>#DIV/0!</v>
      </c>
      <c r="AC7" s="28" t="e">
        <f t="shared" ref="AC7:AC41" si="11">Q7/$E7*100</f>
        <v>#DIV/0!</v>
      </c>
      <c r="AD7" s="28" t="e">
        <f t="shared" ref="AD7:AD41" si="12">R7/$E7*100</f>
        <v>#DIV/0!</v>
      </c>
    </row>
    <row r="8" spans="1:30" ht="16.5" x14ac:dyDescent="0.2">
      <c r="C8" s="57" t="s">
        <v>41</v>
      </c>
      <c r="D8" s="57" t="s">
        <v>42</v>
      </c>
      <c r="E8" s="58">
        <v>129800000</v>
      </c>
      <c r="F8" s="58">
        <v>129800000</v>
      </c>
      <c r="G8" s="58">
        <v>14000000</v>
      </c>
      <c r="H8" s="58">
        <v>27800000</v>
      </c>
      <c r="I8" s="59">
        <v>0</v>
      </c>
      <c r="J8" s="58">
        <v>25800000</v>
      </c>
      <c r="K8" s="58">
        <v>23400000</v>
      </c>
      <c r="L8" s="59">
        <v>0</v>
      </c>
      <c r="M8" s="58">
        <v>17800000</v>
      </c>
      <c r="N8" s="58">
        <v>21000000</v>
      </c>
      <c r="O8" s="59">
        <v>0</v>
      </c>
      <c r="P8" s="59">
        <v>0</v>
      </c>
      <c r="Q8" s="59">
        <v>0</v>
      </c>
      <c r="R8" s="59">
        <v>0</v>
      </c>
      <c r="S8" s="28">
        <f t="shared" si="1"/>
        <v>10.785824345146379</v>
      </c>
      <c r="T8" s="28">
        <f t="shared" si="2"/>
        <v>21.417565485362093</v>
      </c>
      <c r="U8" s="28">
        <f t="shared" si="3"/>
        <v>0</v>
      </c>
      <c r="V8" s="28">
        <f t="shared" si="4"/>
        <v>19.876733436055467</v>
      </c>
      <c r="W8" s="28">
        <f t="shared" si="5"/>
        <v>18.027734976887519</v>
      </c>
      <c r="X8" s="28">
        <f t="shared" si="6"/>
        <v>0</v>
      </c>
      <c r="Y8" s="28">
        <f t="shared" si="7"/>
        <v>13.713405238828969</v>
      </c>
      <c r="Z8" s="28">
        <f t="shared" si="8"/>
        <v>16.178736517719567</v>
      </c>
      <c r="AA8" s="28">
        <f t="shared" si="9"/>
        <v>0</v>
      </c>
      <c r="AB8" s="28">
        <f t="shared" si="10"/>
        <v>0</v>
      </c>
      <c r="AC8" s="28">
        <f t="shared" si="11"/>
        <v>0</v>
      </c>
      <c r="AD8" s="28">
        <f t="shared" si="12"/>
        <v>0</v>
      </c>
    </row>
    <row r="9" spans="1:30" x14ac:dyDescent="0.2">
      <c r="C9" s="60" t="s">
        <v>43</v>
      </c>
      <c r="D9" s="60" t="s">
        <v>44</v>
      </c>
      <c r="E9" s="61">
        <v>129800000</v>
      </c>
      <c r="F9" s="61">
        <v>129800000</v>
      </c>
      <c r="G9" s="61">
        <v>14000000</v>
      </c>
      <c r="H9" s="61">
        <v>27800000</v>
      </c>
      <c r="I9" s="62">
        <v>0</v>
      </c>
      <c r="J9" s="61">
        <v>25800000</v>
      </c>
      <c r="K9" s="61">
        <v>23400000</v>
      </c>
      <c r="L9" s="62">
        <v>0</v>
      </c>
      <c r="M9" s="61">
        <v>17800000</v>
      </c>
      <c r="N9" s="61">
        <v>21000000</v>
      </c>
      <c r="O9" s="62">
        <v>0</v>
      </c>
      <c r="P9" s="62">
        <v>0</v>
      </c>
      <c r="Q9" s="62">
        <v>0</v>
      </c>
      <c r="R9" s="62">
        <v>0</v>
      </c>
      <c r="S9" s="28">
        <f t="shared" si="1"/>
        <v>10.785824345146379</v>
      </c>
      <c r="T9" s="28">
        <f t="shared" si="2"/>
        <v>21.417565485362093</v>
      </c>
      <c r="U9" s="28">
        <f t="shared" si="3"/>
        <v>0</v>
      </c>
      <c r="V9" s="28">
        <f t="shared" si="4"/>
        <v>19.876733436055467</v>
      </c>
      <c r="W9" s="28">
        <f t="shared" si="5"/>
        <v>18.027734976887519</v>
      </c>
      <c r="X9" s="28">
        <f t="shared" si="6"/>
        <v>0</v>
      </c>
      <c r="Y9" s="28">
        <f t="shared" si="7"/>
        <v>13.713405238828969</v>
      </c>
      <c r="Z9" s="28">
        <f t="shared" si="8"/>
        <v>16.178736517719567</v>
      </c>
      <c r="AA9" s="28">
        <f t="shared" si="9"/>
        <v>0</v>
      </c>
      <c r="AB9" s="28">
        <f t="shared" si="10"/>
        <v>0</v>
      </c>
      <c r="AC9" s="28">
        <f t="shared" si="11"/>
        <v>0</v>
      </c>
      <c r="AD9" s="28">
        <f t="shared" si="12"/>
        <v>0</v>
      </c>
    </row>
    <row r="10" spans="1:30" x14ac:dyDescent="0.2">
      <c r="C10" s="63">
        <v>37347</v>
      </c>
      <c r="D10" s="60" t="s">
        <v>45</v>
      </c>
      <c r="E10" s="61">
        <v>129800000</v>
      </c>
      <c r="F10" s="61">
        <v>129800000</v>
      </c>
      <c r="G10" s="61">
        <v>14000000</v>
      </c>
      <c r="H10" s="61">
        <v>27800000</v>
      </c>
      <c r="I10" s="62">
        <v>0</v>
      </c>
      <c r="J10" s="61">
        <v>25800000</v>
      </c>
      <c r="K10" s="61">
        <v>23400000</v>
      </c>
      <c r="L10" s="62">
        <v>0</v>
      </c>
      <c r="M10" s="61">
        <v>17800000</v>
      </c>
      <c r="N10" s="61">
        <v>21000000</v>
      </c>
      <c r="O10" s="62">
        <v>0</v>
      </c>
      <c r="P10" s="62">
        <v>0</v>
      </c>
      <c r="Q10" s="62">
        <v>0</v>
      </c>
      <c r="R10" s="62">
        <v>0</v>
      </c>
      <c r="S10" s="28">
        <f t="shared" si="1"/>
        <v>10.785824345146379</v>
      </c>
      <c r="T10" s="28">
        <f t="shared" si="2"/>
        <v>21.417565485362093</v>
      </c>
      <c r="U10" s="28">
        <f t="shared" si="3"/>
        <v>0</v>
      </c>
      <c r="V10" s="28">
        <f t="shared" si="4"/>
        <v>19.876733436055467</v>
      </c>
      <c r="W10" s="28">
        <f t="shared" si="5"/>
        <v>18.027734976887519</v>
      </c>
      <c r="X10" s="28">
        <f t="shared" si="6"/>
        <v>0</v>
      </c>
      <c r="Y10" s="28">
        <f t="shared" si="7"/>
        <v>13.713405238828969</v>
      </c>
      <c r="Z10" s="28">
        <f t="shared" si="8"/>
        <v>16.178736517719567</v>
      </c>
      <c r="AA10" s="28">
        <f t="shared" si="9"/>
        <v>0</v>
      </c>
      <c r="AB10" s="28">
        <f t="shared" si="10"/>
        <v>0</v>
      </c>
      <c r="AC10" s="28">
        <f t="shared" si="11"/>
        <v>0</v>
      </c>
      <c r="AD10" s="28">
        <f t="shared" si="12"/>
        <v>0</v>
      </c>
    </row>
    <row r="11" spans="1:30" x14ac:dyDescent="0.2">
      <c r="C11" s="64" t="s">
        <v>46</v>
      </c>
      <c r="D11" s="65"/>
      <c r="E11" s="66">
        <v>129800000</v>
      </c>
      <c r="F11" s="66">
        <v>129800000</v>
      </c>
      <c r="G11" s="66">
        <v>14000000</v>
      </c>
      <c r="H11" s="66">
        <v>27800000</v>
      </c>
      <c r="I11" s="67">
        <v>0</v>
      </c>
      <c r="J11" s="66">
        <v>25800000</v>
      </c>
      <c r="K11" s="66">
        <v>23400000</v>
      </c>
      <c r="L11" s="67">
        <v>0</v>
      </c>
      <c r="M11" s="66">
        <v>17800000</v>
      </c>
      <c r="N11" s="66">
        <v>21000000</v>
      </c>
      <c r="O11" s="67">
        <v>0</v>
      </c>
      <c r="P11" s="67">
        <v>0</v>
      </c>
      <c r="Q11" s="67">
        <v>0</v>
      </c>
      <c r="R11" s="67">
        <v>0</v>
      </c>
      <c r="S11" s="28">
        <f t="shared" si="1"/>
        <v>10.785824345146379</v>
      </c>
      <c r="T11" s="28">
        <f t="shared" si="2"/>
        <v>21.417565485362093</v>
      </c>
      <c r="U11" s="28">
        <f t="shared" si="3"/>
        <v>0</v>
      </c>
      <c r="V11" s="28">
        <f t="shared" si="4"/>
        <v>19.876733436055467</v>
      </c>
      <c r="W11" s="28">
        <f t="shared" si="5"/>
        <v>18.027734976887519</v>
      </c>
      <c r="X11" s="28">
        <f t="shared" si="6"/>
        <v>0</v>
      </c>
      <c r="Y11" s="28">
        <f t="shared" si="7"/>
        <v>13.713405238828969</v>
      </c>
      <c r="Z11" s="28">
        <f t="shared" si="8"/>
        <v>16.178736517719567</v>
      </c>
      <c r="AA11" s="28">
        <f t="shared" si="9"/>
        <v>0</v>
      </c>
      <c r="AB11" s="28">
        <f t="shared" si="10"/>
        <v>0</v>
      </c>
      <c r="AC11" s="28">
        <f t="shared" si="11"/>
        <v>0</v>
      </c>
      <c r="AD11" s="28">
        <f t="shared" si="12"/>
        <v>0</v>
      </c>
    </row>
    <row r="12" spans="1:30" x14ac:dyDescent="0.2">
      <c r="C12" s="64" t="s">
        <v>47</v>
      </c>
      <c r="D12" s="65"/>
      <c r="E12" s="66">
        <v>129800000</v>
      </c>
      <c r="F12" s="66">
        <v>129800000</v>
      </c>
      <c r="G12" s="68">
        <v>41800000</v>
      </c>
      <c r="H12" s="69"/>
      <c r="I12" s="70"/>
      <c r="J12" s="68">
        <v>49200000</v>
      </c>
      <c r="K12" s="69"/>
      <c r="L12" s="70"/>
      <c r="M12" s="68">
        <v>38800000</v>
      </c>
      <c r="N12" s="69"/>
      <c r="O12" s="70"/>
      <c r="P12" s="71">
        <v>0</v>
      </c>
      <c r="Q12" s="72"/>
      <c r="R12" s="73"/>
      <c r="S12" s="28">
        <f t="shared" si="1"/>
        <v>32.20338983050847</v>
      </c>
      <c r="T12" s="28">
        <f t="shared" si="2"/>
        <v>0</v>
      </c>
      <c r="U12" s="28">
        <f t="shared" si="3"/>
        <v>0</v>
      </c>
      <c r="V12" s="28">
        <f t="shared" si="4"/>
        <v>37.90446841294299</v>
      </c>
      <c r="W12" s="28">
        <f t="shared" si="5"/>
        <v>0</v>
      </c>
      <c r="X12" s="28">
        <f t="shared" si="6"/>
        <v>0</v>
      </c>
      <c r="Y12" s="28">
        <f t="shared" si="7"/>
        <v>29.892141756548536</v>
      </c>
      <c r="Z12" s="28">
        <f t="shared" si="8"/>
        <v>0</v>
      </c>
      <c r="AA12" s="28">
        <f t="shared" si="9"/>
        <v>0</v>
      </c>
      <c r="AB12" s="28">
        <f t="shared" si="10"/>
        <v>0</v>
      </c>
      <c r="AC12" s="28">
        <f t="shared" si="11"/>
        <v>0</v>
      </c>
      <c r="AD12" s="28">
        <f t="shared" si="12"/>
        <v>0</v>
      </c>
    </row>
    <row r="13" spans="1:30" x14ac:dyDescent="0.2">
      <c r="C13" s="64" t="s">
        <v>48</v>
      </c>
      <c r="D13" s="65"/>
      <c r="E13" s="66">
        <v>129800000</v>
      </c>
      <c r="F13" s="66">
        <v>129800000</v>
      </c>
      <c r="G13" s="68">
        <v>91000000</v>
      </c>
      <c r="H13" s="69"/>
      <c r="I13" s="69"/>
      <c r="J13" s="69"/>
      <c r="K13" s="69"/>
      <c r="L13" s="70"/>
      <c r="M13" s="68">
        <v>38800000</v>
      </c>
      <c r="N13" s="69"/>
      <c r="O13" s="69"/>
      <c r="P13" s="69"/>
      <c r="Q13" s="69"/>
      <c r="R13" s="70"/>
      <c r="S13" s="28">
        <f t="shared" si="1"/>
        <v>70.10785824345146</v>
      </c>
      <c r="T13" s="28">
        <f t="shared" si="2"/>
        <v>0</v>
      </c>
      <c r="U13" s="28">
        <f t="shared" si="3"/>
        <v>0</v>
      </c>
      <c r="V13" s="28">
        <f t="shared" si="4"/>
        <v>0</v>
      </c>
      <c r="W13" s="28">
        <f t="shared" si="5"/>
        <v>0</v>
      </c>
      <c r="X13" s="28">
        <f t="shared" si="6"/>
        <v>0</v>
      </c>
      <c r="Y13" s="28">
        <f t="shared" si="7"/>
        <v>29.892141756548536</v>
      </c>
      <c r="Z13" s="28">
        <f t="shared" si="8"/>
        <v>0</v>
      </c>
      <c r="AA13" s="28">
        <f t="shared" si="9"/>
        <v>0</v>
      </c>
      <c r="AB13" s="28">
        <f t="shared" si="10"/>
        <v>0</v>
      </c>
      <c r="AC13" s="28">
        <f t="shared" si="11"/>
        <v>0</v>
      </c>
      <c r="AD13" s="28">
        <f t="shared" si="12"/>
        <v>0</v>
      </c>
    </row>
    <row r="14" spans="1:30" x14ac:dyDescent="0.2"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28" t="e">
        <f t="shared" si="1"/>
        <v>#DIV/0!</v>
      </c>
      <c r="T14" s="28" t="e">
        <f t="shared" si="2"/>
        <v>#DIV/0!</v>
      </c>
      <c r="U14" s="28" t="e">
        <f t="shared" si="3"/>
        <v>#DIV/0!</v>
      </c>
      <c r="V14" s="28" t="e">
        <f t="shared" si="4"/>
        <v>#DIV/0!</v>
      </c>
      <c r="W14" s="28" t="e">
        <f t="shared" si="5"/>
        <v>#DIV/0!</v>
      </c>
      <c r="X14" s="28" t="e">
        <f t="shared" si="6"/>
        <v>#DIV/0!</v>
      </c>
      <c r="Y14" s="28" t="e">
        <f t="shared" si="7"/>
        <v>#DIV/0!</v>
      </c>
      <c r="Z14" s="28" t="e">
        <f t="shared" si="8"/>
        <v>#DIV/0!</v>
      </c>
      <c r="AA14" s="28" t="e">
        <f t="shared" si="9"/>
        <v>#DIV/0!</v>
      </c>
      <c r="AB14" s="28" t="e">
        <f t="shared" si="10"/>
        <v>#DIV/0!</v>
      </c>
      <c r="AC14" s="28" t="e">
        <f t="shared" si="11"/>
        <v>#DIV/0!</v>
      </c>
      <c r="AD14" s="28" t="e">
        <f t="shared" si="12"/>
        <v>#DIV/0!</v>
      </c>
    </row>
    <row r="15" spans="1:30" x14ac:dyDescent="0.2">
      <c r="C15" s="54" t="s">
        <v>49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  <c r="S15" s="28" t="e">
        <f t="shared" si="1"/>
        <v>#DIV/0!</v>
      </c>
      <c r="T15" s="28" t="e">
        <f t="shared" si="2"/>
        <v>#DIV/0!</v>
      </c>
      <c r="U15" s="28" t="e">
        <f t="shared" si="3"/>
        <v>#DIV/0!</v>
      </c>
      <c r="V15" s="28" t="e">
        <f t="shared" si="4"/>
        <v>#DIV/0!</v>
      </c>
      <c r="W15" s="28" t="e">
        <f t="shared" si="5"/>
        <v>#DIV/0!</v>
      </c>
      <c r="X15" s="28" t="e">
        <f t="shared" si="6"/>
        <v>#DIV/0!</v>
      </c>
      <c r="Y15" s="28" t="e">
        <f t="shared" si="7"/>
        <v>#DIV/0!</v>
      </c>
      <c r="Z15" s="28" t="e">
        <f t="shared" si="8"/>
        <v>#DIV/0!</v>
      </c>
      <c r="AA15" s="28" t="e">
        <f t="shared" si="9"/>
        <v>#DIV/0!</v>
      </c>
      <c r="AB15" s="28" t="e">
        <f t="shared" si="10"/>
        <v>#DIV/0!</v>
      </c>
      <c r="AC15" s="28" t="e">
        <f t="shared" si="11"/>
        <v>#DIV/0!</v>
      </c>
      <c r="AD15" s="28" t="e">
        <f t="shared" si="12"/>
        <v>#DIV/0!</v>
      </c>
    </row>
    <row r="16" spans="1:30" ht="16.5" x14ac:dyDescent="0.2">
      <c r="C16" s="57" t="s">
        <v>50</v>
      </c>
      <c r="D16" s="57" t="s">
        <v>51</v>
      </c>
      <c r="E16" s="58">
        <v>128442266650</v>
      </c>
      <c r="F16" s="58">
        <v>128442266650</v>
      </c>
      <c r="G16" s="58">
        <v>6835738877</v>
      </c>
      <c r="H16" s="58">
        <v>9218229270</v>
      </c>
      <c r="I16" s="58">
        <v>19339767823</v>
      </c>
      <c r="J16" s="58">
        <v>16338178788</v>
      </c>
      <c r="K16" s="58">
        <v>8643351882</v>
      </c>
      <c r="L16" s="58">
        <v>11924260165</v>
      </c>
      <c r="M16" s="58">
        <v>9952343500</v>
      </c>
      <c r="N16" s="58">
        <v>7928635451</v>
      </c>
      <c r="O16" s="58">
        <v>7896656554</v>
      </c>
      <c r="P16" s="58">
        <v>11826137784</v>
      </c>
      <c r="Q16" s="58">
        <v>11299615852.34</v>
      </c>
      <c r="R16" s="58">
        <v>7239350703.6599998</v>
      </c>
      <c r="S16" s="28">
        <f t="shared" si="1"/>
        <v>5.3220322681061933</v>
      </c>
      <c r="T16" s="28">
        <f t="shared" si="2"/>
        <v>7.1769437821580215</v>
      </c>
      <c r="U16" s="28">
        <f t="shared" si="3"/>
        <v>15.057167961462472</v>
      </c>
      <c r="V16" s="28">
        <f t="shared" si="4"/>
        <v>12.720251062308702</v>
      </c>
      <c r="W16" s="28">
        <f t="shared" si="5"/>
        <v>6.7293672927407817</v>
      </c>
      <c r="X16" s="28">
        <f t="shared" si="6"/>
        <v>9.2837509614285523</v>
      </c>
      <c r="Y16" s="28">
        <f t="shared" si="7"/>
        <v>7.7484956934929645</v>
      </c>
      <c r="Z16" s="28">
        <f t="shared" si="8"/>
        <v>6.1729177301154392</v>
      </c>
      <c r="AA16" s="28">
        <f t="shared" si="9"/>
        <v>6.1480202428364734</v>
      </c>
      <c r="AB16" s="28">
        <f t="shared" si="10"/>
        <v>9.2073568089745308</v>
      </c>
      <c r="AC16" s="28">
        <f t="shared" si="11"/>
        <v>8.7974279394578101</v>
      </c>
      <c r="AD16" s="28">
        <f t="shared" si="12"/>
        <v>5.6362682569180587</v>
      </c>
    </row>
    <row r="17" spans="3:30" x14ac:dyDescent="0.2">
      <c r="C17" s="60" t="s">
        <v>52</v>
      </c>
      <c r="D17" s="60" t="s">
        <v>42</v>
      </c>
      <c r="E17" s="61">
        <v>128442266650</v>
      </c>
      <c r="F17" s="61">
        <v>128442266650</v>
      </c>
      <c r="G17" s="61">
        <v>6835738877</v>
      </c>
      <c r="H17" s="61">
        <v>9218229270</v>
      </c>
      <c r="I17" s="61">
        <v>19339767823</v>
      </c>
      <c r="J17" s="61">
        <v>16338178788</v>
      </c>
      <c r="K17" s="61">
        <v>8643351882</v>
      </c>
      <c r="L17" s="61">
        <v>11924260165</v>
      </c>
      <c r="M17" s="61">
        <v>9952343500</v>
      </c>
      <c r="N17" s="61">
        <v>7928635451</v>
      </c>
      <c r="O17" s="61">
        <v>7896656554</v>
      </c>
      <c r="P17" s="61">
        <v>11826137784</v>
      </c>
      <c r="Q17" s="61">
        <v>11299615852.34</v>
      </c>
      <c r="R17" s="61">
        <v>7239350703.6599998</v>
      </c>
      <c r="S17" s="28">
        <f t="shared" si="1"/>
        <v>5.3220322681061933</v>
      </c>
      <c r="T17" s="28">
        <f t="shared" si="2"/>
        <v>7.1769437821580215</v>
      </c>
      <c r="U17" s="28">
        <f t="shared" si="3"/>
        <v>15.057167961462472</v>
      </c>
      <c r="V17" s="28">
        <f t="shared" si="4"/>
        <v>12.720251062308702</v>
      </c>
      <c r="W17" s="28">
        <f t="shared" si="5"/>
        <v>6.7293672927407817</v>
      </c>
      <c r="X17" s="28">
        <f t="shared" si="6"/>
        <v>9.2837509614285523</v>
      </c>
      <c r="Y17" s="28">
        <f t="shared" si="7"/>
        <v>7.7484956934929645</v>
      </c>
      <c r="Z17" s="28">
        <f t="shared" si="8"/>
        <v>6.1729177301154392</v>
      </c>
      <c r="AA17" s="28">
        <f t="shared" si="9"/>
        <v>6.1480202428364734</v>
      </c>
      <c r="AB17" s="28">
        <f t="shared" si="10"/>
        <v>9.2073568089745308</v>
      </c>
      <c r="AC17" s="28">
        <f t="shared" si="11"/>
        <v>8.7974279394578101</v>
      </c>
      <c r="AD17" s="28">
        <f t="shared" si="12"/>
        <v>5.6362682569180587</v>
      </c>
    </row>
    <row r="18" spans="3:30" ht="16.5" x14ac:dyDescent="0.2">
      <c r="C18" s="75">
        <v>36982</v>
      </c>
      <c r="D18" s="76" t="s">
        <v>53</v>
      </c>
      <c r="E18" s="77">
        <v>128442266650</v>
      </c>
      <c r="F18" s="77">
        <v>128442266650</v>
      </c>
      <c r="G18" s="77">
        <v>6835738877</v>
      </c>
      <c r="H18" s="77">
        <v>9218229270</v>
      </c>
      <c r="I18" s="77">
        <v>19339767823</v>
      </c>
      <c r="J18" s="77">
        <v>16338178788</v>
      </c>
      <c r="K18" s="77">
        <v>8643351882</v>
      </c>
      <c r="L18" s="77">
        <v>11924260165</v>
      </c>
      <c r="M18" s="77">
        <v>9952343500</v>
      </c>
      <c r="N18" s="77">
        <v>7928635451</v>
      </c>
      <c r="O18" s="77">
        <v>7896656554</v>
      </c>
      <c r="P18" s="77">
        <v>11826137784</v>
      </c>
      <c r="Q18" s="77">
        <v>11299615852.34</v>
      </c>
      <c r="R18" s="77">
        <v>7239350703.6599998</v>
      </c>
      <c r="S18" s="28">
        <f t="shared" si="1"/>
        <v>5.3220322681061933</v>
      </c>
      <c r="T18" s="28">
        <f t="shared" si="2"/>
        <v>7.1769437821580215</v>
      </c>
      <c r="U18" s="28">
        <f t="shared" si="3"/>
        <v>15.057167961462472</v>
      </c>
      <c r="V18" s="28">
        <f t="shared" si="4"/>
        <v>12.720251062308702</v>
      </c>
      <c r="W18" s="28">
        <f t="shared" si="5"/>
        <v>6.7293672927407817</v>
      </c>
      <c r="X18" s="28">
        <f t="shared" si="6"/>
        <v>9.2837509614285523</v>
      </c>
      <c r="Y18" s="28">
        <f t="shared" si="7"/>
        <v>7.7484956934929645</v>
      </c>
      <c r="Z18" s="28">
        <f t="shared" si="8"/>
        <v>6.1729177301154392</v>
      </c>
      <c r="AA18" s="28">
        <f t="shared" si="9"/>
        <v>6.1480202428364734</v>
      </c>
      <c r="AB18" s="28">
        <f t="shared" si="10"/>
        <v>9.2073568089745308</v>
      </c>
      <c r="AC18" s="28">
        <f t="shared" si="11"/>
        <v>8.7974279394578101</v>
      </c>
      <c r="AD18" s="28">
        <f t="shared" si="12"/>
        <v>5.6362682569180587</v>
      </c>
    </row>
    <row r="19" spans="3:30" ht="24.75" x14ac:dyDescent="0.2">
      <c r="C19" s="78" t="s">
        <v>54</v>
      </c>
      <c r="D19" s="76" t="s">
        <v>55</v>
      </c>
      <c r="E19" s="77">
        <v>4880000</v>
      </c>
      <c r="F19" s="77">
        <v>4880000</v>
      </c>
      <c r="G19" s="79">
        <v>0</v>
      </c>
      <c r="H19" s="77">
        <v>4560000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7">
        <v>320000</v>
      </c>
      <c r="R19" s="79">
        <v>0</v>
      </c>
      <c r="S19" s="28">
        <f t="shared" si="1"/>
        <v>0</v>
      </c>
      <c r="T19" s="28">
        <f t="shared" si="2"/>
        <v>93.442622950819683</v>
      </c>
      <c r="U19" s="28">
        <f t="shared" si="3"/>
        <v>0</v>
      </c>
      <c r="V19" s="28">
        <f t="shared" si="4"/>
        <v>0</v>
      </c>
      <c r="W19" s="28">
        <f t="shared" si="5"/>
        <v>0</v>
      </c>
      <c r="X19" s="28">
        <f t="shared" si="6"/>
        <v>0</v>
      </c>
      <c r="Y19" s="28">
        <f t="shared" si="7"/>
        <v>0</v>
      </c>
      <c r="Z19" s="28">
        <f t="shared" si="8"/>
        <v>0</v>
      </c>
      <c r="AA19" s="28">
        <f t="shared" si="9"/>
        <v>0</v>
      </c>
      <c r="AB19" s="28">
        <f t="shared" si="10"/>
        <v>0</v>
      </c>
      <c r="AC19" s="28">
        <f t="shared" si="11"/>
        <v>6.557377049180328</v>
      </c>
      <c r="AD19" s="28">
        <f t="shared" si="12"/>
        <v>0</v>
      </c>
    </row>
    <row r="20" spans="3:30" ht="24.75" x14ac:dyDescent="0.2">
      <c r="C20" s="2" t="s">
        <v>2</v>
      </c>
      <c r="D20" s="76" t="s">
        <v>56</v>
      </c>
      <c r="E20" s="3">
        <v>4880000</v>
      </c>
      <c r="F20" s="3">
        <v>4880000</v>
      </c>
      <c r="G20" s="4">
        <v>0</v>
      </c>
      <c r="H20" s="3">
        <v>4560000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3">
        <v>320000</v>
      </c>
      <c r="R20" s="4">
        <v>0</v>
      </c>
      <c r="S20" s="28">
        <f t="shared" si="1"/>
        <v>0</v>
      </c>
      <c r="T20" s="28">
        <f t="shared" si="2"/>
        <v>93.442622950819683</v>
      </c>
      <c r="U20" s="28">
        <f t="shared" si="3"/>
        <v>0</v>
      </c>
      <c r="V20" s="28">
        <f t="shared" si="4"/>
        <v>0</v>
      </c>
      <c r="W20" s="28">
        <f t="shared" si="5"/>
        <v>0</v>
      </c>
      <c r="X20" s="28">
        <f t="shared" si="6"/>
        <v>0</v>
      </c>
      <c r="Y20" s="28">
        <f t="shared" si="7"/>
        <v>0</v>
      </c>
      <c r="Z20" s="28">
        <f t="shared" si="8"/>
        <v>0</v>
      </c>
      <c r="AA20" s="28">
        <f t="shared" si="9"/>
        <v>0</v>
      </c>
      <c r="AB20" s="28">
        <f t="shared" si="10"/>
        <v>0</v>
      </c>
      <c r="AC20" s="28">
        <f t="shared" si="11"/>
        <v>6.557377049180328</v>
      </c>
      <c r="AD20" s="28">
        <f t="shared" si="12"/>
        <v>0</v>
      </c>
    </row>
    <row r="21" spans="3:30" ht="16.5" x14ac:dyDescent="0.2">
      <c r="C21" s="2" t="s">
        <v>57</v>
      </c>
      <c r="D21" s="76" t="s">
        <v>58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28" t="e">
        <f t="shared" si="1"/>
        <v>#DIV/0!</v>
      </c>
      <c r="T21" s="28" t="e">
        <f t="shared" si="2"/>
        <v>#DIV/0!</v>
      </c>
      <c r="U21" s="28" t="e">
        <f t="shared" si="3"/>
        <v>#DIV/0!</v>
      </c>
      <c r="V21" s="28" t="e">
        <f t="shared" si="4"/>
        <v>#DIV/0!</v>
      </c>
      <c r="W21" s="28" t="e">
        <f t="shared" si="5"/>
        <v>#DIV/0!</v>
      </c>
      <c r="X21" s="28" t="e">
        <f t="shared" si="6"/>
        <v>#DIV/0!</v>
      </c>
      <c r="Y21" s="28" t="e">
        <f t="shared" si="7"/>
        <v>#DIV/0!</v>
      </c>
      <c r="Z21" s="28" t="e">
        <f t="shared" si="8"/>
        <v>#DIV/0!</v>
      </c>
      <c r="AA21" s="28" t="e">
        <f t="shared" si="9"/>
        <v>#DIV/0!</v>
      </c>
      <c r="AB21" s="28" t="e">
        <f t="shared" si="10"/>
        <v>#DIV/0!</v>
      </c>
      <c r="AC21" s="28" t="e">
        <f t="shared" si="11"/>
        <v>#DIV/0!</v>
      </c>
      <c r="AD21" s="28" t="e">
        <f t="shared" si="12"/>
        <v>#DIV/0!</v>
      </c>
    </row>
    <row r="22" spans="3:30" x14ac:dyDescent="0.2">
      <c r="C22" s="80" t="s">
        <v>59</v>
      </c>
      <c r="D22" s="80" t="s">
        <v>60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28" t="e">
        <f t="shared" si="1"/>
        <v>#DIV/0!</v>
      </c>
      <c r="T22" s="28" t="e">
        <f t="shared" si="2"/>
        <v>#DIV/0!</v>
      </c>
      <c r="U22" s="28" t="e">
        <f t="shared" si="3"/>
        <v>#DIV/0!</v>
      </c>
      <c r="V22" s="28" t="e">
        <f t="shared" si="4"/>
        <v>#DIV/0!</v>
      </c>
      <c r="W22" s="28" t="e">
        <f t="shared" si="5"/>
        <v>#DIV/0!</v>
      </c>
      <c r="X22" s="28" t="e">
        <f t="shared" si="6"/>
        <v>#DIV/0!</v>
      </c>
      <c r="Y22" s="28" t="e">
        <f t="shared" si="7"/>
        <v>#DIV/0!</v>
      </c>
      <c r="Z22" s="28" t="e">
        <f t="shared" si="8"/>
        <v>#DIV/0!</v>
      </c>
      <c r="AA22" s="28" t="e">
        <f t="shared" si="9"/>
        <v>#DIV/0!</v>
      </c>
      <c r="AB22" s="28" t="e">
        <f t="shared" si="10"/>
        <v>#DIV/0!</v>
      </c>
      <c r="AC22" s="28" t="e">
        <f t="shared" si="11"/>
        <v>#DIV/0!</v>
      </c>
      <c r="AD22" s="28" t="e">
        <f t="shared" si="12"/>
        <v>#DIV/0!</v>
      </c>
    </row>
    <row r="23" spans="3:30" ht="16.5" x14ac:dyDescent="0.2">
      <c r="C23" s="60" t="s">
        <v>61</v>
      </c>
      <c r="D23" s="60" t="s">
        <v>62</v>
      </c>
      <c r="E23" s="61">
        <v>61243111691</v>
      </c>
      <c r="F23" s="61">
        <v>61243111691</v>
      </c>
      <c r="G23" s="61">
        <v>3914313836</v>
      </c>
      <c r="H23" s="61">
        <v>4015211036</v>
      </c>
      <c r="I23" s="61">
        <v>12662077312</v>
      </c>
      <c r="J23" s="61">
        <v>4015609436</v>
      </c>
      <c r="K23" s="61">
        <v>4013099931</v>
      </c>
      <c r="L23" s="61">
        <v>8269011838</v>
      </c>
      <c r="M23" s="61">
        <v>4023130639</v>
      </c>
      <c r="N23" s="61">
        <v>4017353597</v>
      </c>
      <c r="O23" s="61">
        <v>4980626957</v>
      </c>
      <c r="P23" s="61">
        <v>3984804608</v>
      </c>
      <c r="Q23" s="61">
        <v>4335930754</v>
      </c>
      <c r="R23" s="61">
        <v>3011941747</v>
      </c>
      <c r="S23" s="28">
        <f t="shared" si="1"/>
        <v>6.3914352617312042</v>
      </c>
      <c r="T23" s="28">
        <f t="shared" si="2"/>
        <v>6.5561839121738439</v>
      </c>
      <c r="U23" s="28">
        <f t="shared" si="3"/>
        <v>20.67510445237674</v>
      </c>
      <c r="V23" s="28">
        <f t="shared" si="4"/>
        <v>6.5568344343125782</v>
      </c>
      <c r="W23" s="28">
        <f t="shared" si="5"/>
        <v>6.5527368224657767</v>
      </c>
      <c r="X23" s="28">
        <f t="shared" si="6"/>
        <v>13.501945948992619</v>
      </c>
      <c r="Y23" s="28">
        <f t="shared" si="7"/>
        <v>6.5691153305510772</v>
      </c>
      <c r="Z23" s="28">
        <f t="shared" si="8"/>
        <v>6.5596823643929438</v>
      </c>
      <c r="AA23" s="28">
        <f t="shared" si="9"/>
        <v>8.1325504525791921</v>
      </c>
      <c r="AB23" s="28">
        <f t="shared" si="10"/>
        <v>6.5065351808137928</v>
      </c>
      <c r="AC23" s="28">
        <f t="shared" si="11"/>
        <v>7.0798668360889119</v>
      </c>
      <c r="AD23" s="28">
        <f t="shared" si="12"/>
        <v>4.9180090035213233</v>
      </c>
    </row>
    <row r="24" spans="3:30" x14ac:dyDescent="0.2">
      <c r="C24" s="80" t="s">
        <v>63</v>
      </c>
      <c r="D24" s="80" t="s">
        <v>64</v>
      </c>
      <c r="E24" s="82">
        <v>60174321691</v>
      </c>
      <c r="F24" s="82">
        <v>60174321691</v>
      </c>
      <c r="G24" s="82">
        <v>3914313836</v>
      </c>
      <c r="H24" s="82">
        <v>3914313836</v>
      </c>
      <c r="I24" s="82">
        <v>12564288112</v>
      </c>
      <c r="J24" s="82">
        <v>3914313836</v>
      </c>
      <c r="K24" s="82">
        <v>3913064331</v>
      </c>
      <c r="L24" s="82">
        <v>8170315238</v>
      </c>
      <c r="M24" s="82">
        <v>3921324239</v>
      </c>
      <c r="N24" s="82">
        <v>3914465597</v>
      </c>
      <c r="O24" s="82">
        <v>4883129557</v>
      </c>
      <c r="P24" s="82">
        <v>3880765608</v>
      </c>
      <c r="Q24" s="82">
        <v>4232525754</v>
      </c>
      <c r="R24" s="82">
        <v>2951501747</v>
      </c>
      <c r="S24" s="28">
        <f t="shared" si="1"/>
        <v>6.5049571411877603</v>
      </c>
      <c r="T24" s="28">
        <f t="shared" si="2"/>
        <v>6.5049571411877603</v>
      </c>
      <c r="U24" s="28">
        <f t="shared" si="3"/>
        <v>20.879816770546469</v>
      </c>
      <c r="V24" s="28">
        <f t="shared" si="4"/>
        <v>6.5049571411877603</v>
      </c>
      <c r="W24" s="28">
        <f t="shared" si="5"/>
        <v>6.5028806657662068</v>
      </c>
      <c r="X24" s="28">
        <f t="shared" si="6"/>
        <v>13.577743808987542</v>
      </c>
      <c r="Y24" s="28">
        <f t="shared" si="7"/>
        <v>6.5166072982697107</v>
      </c>
      <c r="Z24" s="28">
        <f t="shared" si="8"/>
        <v>6.5052093434490157</v>
      </c>
      <c r="AA24" s="28">
        <f t="shared" si="9"/>
        <v>8.1149723333405639</v>
      </c>
      <c r="AB24" s="28">
        <f t="shared" si="10"/>
        <v>6.4492054067980105</v>
      </c>
      <c r="AC24" s="28">
        <f t="shared" si="11"/>
        <v>7.0337739338955263</v>
      </c>
      <c r="AD24" s="28">
        <f t="shared" si="12"/>
        <v>4.9049190153836717</v>
      </c>
    </row>
    <row r="25" spans="3:30" ht="16.5" x14ac:dyDescent="0.2">
      <c r="C25" s="2" t="s">
        <v>65</v>
      </c>
      <c r="D25" s="76" t="s">
        <v>66</v>
      </c>
      <c r="E25" s="3">
        <v>1053085000</v>
      </c>
      <c r="F25" s="3">
        <v>1053085000</v>
      </c>
      <c r="G25" s="4">
        <v>0</v>
      </c>
      <c r="H25" s="3">
        <v>98658000</v>
      </c>
      <c r="I25" s="3">
        <v>96550000</v>
      </c>
      <c r="J25" s="3">
        <v>99056400</v>
      </c>
      <c r="K25" s="3">
        <v>98796400</v>
      </c>
      <c r="L25" s="3">
        <v>98011400</v>
      </c>
      <c r="M25" s="3">
        <v>98796400</v>
      </c>
      <c r="N25" s="3">
        <v>99878000</v>
      </c>
      <c r="O25" s="3">
        <v>96618400</v>
      </c>
      <c r="P25" s="3">
        <v>102875000</v>
      </c>
      <c r="Q25" s="3">
        <v>103405000</v>
      </c>
      <c r="R25" s="3">
        <v>60440000</v>
      </c>
      <c r="S25" s="28">
        <f t="shared" si="1"/>
        <v>0</v>
      </c>
      <c r="T25" s="28">
        <f t="shared" si="2"/>
        <v>9.3684745295963765</v>
      </c>
      <c r="U25" s="28">
        <f t="shared" si="3"/>
        <v>9.168300754450021</v>
      </c>
      <c r="V25" s="28">
        <f t="shared" si="4"/>
        <v>9.4063062335898806</v>
      </c>
      <c r="W25" s="28">
        <f t="shared" si="5"/>
        <v>9.3816168685338788</v>
      </c>
      <c r="X25" s="28">
        <f t="shared" si="6"/>
        <v>9.307073977884027</v>
      </c>
      <c r="Y25" s="28">
        <f t="shared" si="7"/>
        <v>9.3816168685338788</v>
      </c>
      <c r="Z25" s="28">
        <f t="shared" si="8"/>
        <v>9.4843246271668491</v>
      </c>
      <c r="AA25" s="28">
        <f t="shared" si="9"/>
        <v>9.1747959566416757</v>
      </c>
      <c r="AB25" s="28">
        <f t="shared" si="10"/>
        <v>9.7689170389854567</v>
      </c>
      <c r="AC25" s="28">
        <f t="shared" si="11"/>
        <v>9.8192453600611529</v>
      </c>
      <c r="AD25" s="28">
        <f t="shared" si="12"/>
        <v>5.7393277845568029</v>
      </c>
    </row>
    <row r="26" spans="3:30" ht="24.75" x14ac:dyDescent="0.2">
      <c r="C26" s="2" t="s">
        <v>67</v>
      </c>
      <c r="D26" s="76" t="s">
        <v>68</v>
      </c>
      <c r="E26" s="3">
        <v>15705000</v>
      </c>
      <c r="F26" s="3">
        <v>15705000</v>
      </c>
      <c r="G26" s="4">
        <v>0</v>
      </c>
      <c r="H26" s="3">
        <v>2239200</v>
      </c>
      <c r="I26" s="3">
        <v>1239200</v>
      </c>
      <c r="J26" s="3">
        <v>2239200</v>
      </c>
      <c r="K26" s="3">
        <v>1239200</v>
      </c>
      <c r="L26" s="3">
        <v>685200</v>
      </c>
      <c r="M26" s="3">
        <v>3010000</v>
      </c>
      <c r="N26" s="3">
        <v>3010000</v>
      </c>
      <c r="O26" s="3">
        <v>879000</v>
      </c>
      <c r="P26" s="3">
        <v>1164000</v>
      </c>
      <c r="Q26" s="4">
        <v>0</v>
      </c>
      <c r="R26" s="4">
        <v>0</v>
      </c>
      <c r="S26" s="28">
        <f t="shared" si="1"/>
        <v>0</v>
      </c>
      <c r="T26" s="28">
        <f t="shared" si="2"/>
        <v>14.257879656160458</v>
      </c>
      <c r="U26" s="28">
        <f t="shared" si="3"/>
        <v>7.8904807386182743</v>
      </c>
      <c r="V26" s="28">
        <f t="shared" si="4"/>
        <v>14.257879656160458</v>
      </c>
      <c r="W26" s="28">
        <f t="shared" si="5"/>
        <v>7.8904807386182743</v>
      </c>
      <c r="X26" s="28">
        <f t="shared" si="6"/>
        <v>4.3629417382999049</v>
      </c>
      <c r="Y26" s="28">
        <f t="shared" si="7"/>
        <v>19.165870741801974</v>
      </c>
      <c r="Z26" s="28">
        <f t="shared" si="8"/>
        <v>19.165870741801974</v>
      </c>
      <c r="AA26" s="28">
        <f t="shared" si="9"/>
        <v>5.5969436485195798</v>
      </c>
      <c r="AB26" s="28">
        <f t="shared" si="10"/>
        <v>7.4116523400191019</v>
      </c>
      <c r="AC26" s="28">
        <f t="shared" si="11"/>
        <v>0</v>
      </c>
      <c r="AD26" s="28">
        <f t="shared" si="12"/>
        <v>0</v>
      </c>
    </row>
    <row r="27" spans="3:30" ht="24.75" x14ac:dyDescent="0.2">
      <c r="C27" s="78" t="s">
        <v>69</v>
      </c>
      <c r="D27" s="76" t="s">
        <v>70</v>
      </c>
      <c r="E27" s="77">
        <v>571051749</v>
      </c>
      <c r="F27" s="77">
        <v>571051749</v>
      </c>
      <c r="G27" s="79">
        <v>0</v>
      </c>
      <c r="H27" s="77">
        <v>528314666</v>
      </c>
      <c r="I27" s="77">
        <v>1200000</v>
      </c>
      <c r="J27" s="77">
        <v>2579200</v>
      </c>
      <c r="K27" s="77">
        <v>1200000</v>
      </c>
      <c r="L27" s="77">
        <v>1019600</v>
      </c>
      <c r="M27" s="77">
        <v>3010000</v>
      </c>
      <c r="N27" s="77">
        <v>2400000</v>
      </c>
      <c r="O27" s="77">
        <v>1606600</v>
      </c>
      <c r="P27" s="77">
        <v>29721683</v>
      </c>
      <c r="Q27" s="79">
        <v>0</v>
      </c>
      <c r="R27" s="79">
        <v>0</v>
      </c>
      <c r="S27" s="28">
        <f t="shared" si="1"/>
        <v>0</v>
      </c>
      <c r="T27" s="28">
        <f t="shared" si="2"/>
        <v>92.516075281296438</v>
      </c>
      <c r="U27" s="28">
        <f t="shared" si="3"/>
        <v>0.21013857362338628</v>
      </c>
      <c r="V27" s="28">
        <f t="shared" si="4"/>
        <v>0.45165784090786487</v>
      </c>
      <c r="W27" s="28">
        <f t="shared" si="5"/>
        <v>0.21013857362338628</v>
      </c>
      <c r="X27" s="28">
        <f t="shared" si="6"/>
        <v>0.17854774138867055</v>
      </c>
      <c r="Y27" s="28">
        <f t="shared" si="7"/>
        <v>0.52709758883866054</v>
      </c>
      <c r="Z27" s="28">
        <f t="shared" si="8"/>
        <v>0.42027714724677256</v>
      </c>
      <c r="AA27" s="28">
        <f t="shared" si="9"/>
        <v>0.28134052698611034</v>
      </c>
      <c r="AB27" s="28">
        <f t="shared" si="10"/>
        <v>5.2047267260887073</v>
      </c>
      <c r="AC27" s="28">
        <f t="shared" si="11"/>
        <v>0</v>
      </c>
      <c r="AD27" s="28">
        <f t="shared" si="12"/>
        <v>0</v>
      </c>
    </row>
    <row r="28" spans="3:30" x14ac:dyDescent="0.2">
      <c r="C28" s="80" t="s">
        <v>71</v>
      </c>
      <c r="D28" s="80" t="s">
        <v>72</v>
      </c>
      <c r="E28" s="82">
        <v>555346749</v>
      </c>
      <c r="F28" s="82">
        <v>555346749</v>
      </c>
      <c r="G28" s="81">
        <v>0</v>
      </c>
      <c r="H28" s="82">
        <v>526075466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2">
        <v>29271283</v>
      </c>
      <c r="Q28" s="81">
        <v>0</v>
      </c>
      <c r="R28" s="81">
        <v>0</v>
      </c>
      <c r="S28" s="28">
        <f t="shared" si="1"/>
        <v>0</v>
      </c>
      <c r="T28" s="28">
        <f t="shared" si="2"/>
        <v>94.729188015828285</v>
      </c>
      <c r="U28" s="28">
        <f t="shared" si="3"/>
        <v>0</v>
      </c>
      <c r="V28" s="28">
        <f t="shared" si="4"/>
        <v>0</v>
      </c>
      <c r="W28" s="28">
        <f t="shared" si="5"/>
        <v>0</v>
      </c>
      <c r="X28" s="28">
        <f t="shared" si="6"/>
        <v>0</v>
      </c>
      <c r="Y28" s="28">
        <f t="shared" si="7"/>
        <v>0</v>
      </c>
      <c r="Z28" s="28">
        <f t="shared" si="8"/>
        <v>0</v>
      </c>
      <c r="AA28" s="28">
        <f t="shared" si="9"/>
        <v>0</v>
      </c>
      <c r="AB28" s="28">
        <f t="shared" si="10"/>
        <v>5.2708119841717123</v>
      </c>
      <c r="AC28" s="28">
        <f t="shared" si="11"/>
        <v>0</v>
      </c>
      <c r="AD28" s="28">
        <f t="shared" si="12"/>
        <v>0</v>
      </c>
    </row>
    <row r="29" spans="3:30" ht="16.5" x14ac:dyDescent="0.2">
      <c r="C29" s="2" t="s">
        <v>73</v>
      </c>
      <c r="D29" s="76" t="s">
        <v>74</v>
      </c>
      <c r="E29" s="3">
        <v>15705000</v>
      </c>
      <c r="F29" s="3">
        <v>15705000</v>
      </c>
      <c r="G29" s="4">
        <v>0</v>
      </c>
      <c r="H29" s="3">
        <v>2239200</v>
      </c>
      <c r="I29" s="3">
        <v>1200000</v>
      </c>
      <c r="J29" s="3">
        <v>2579200</v>
      </c>
      <c r="K29" s="3">
        <v>1200000</v>
      </c>
      <c r="L29" s="3">
        <v>1019600</v>
      </c>
      <c r="M29" s="3">
        <v>3010000</v>
      </c>
      <c r="N29" s="3">
        <v>2400000</v>
      </c>
      <c r="O29" s="3">
        <v>1606600</v>
      </c>
      <c r="P29" s="3">
        <v>450400</v>
      </c>
      <c r="Q29" s="4">
        <v>0</v>
      </c>
      <c r="R29" s="4">
        <v>0</v>
      </c>
      <c r="S29" s="28">
        <f t="shared" si="1"/>
        <v>0</v>
      </c>
      <c r="T29" s="28">
        <f t="shared" si="2"/>
        <v>14.257879656160458</v>
      </c>
      <c r="U29" s="28">
        <f t="shared" si="3"/>
        <v>7.6408787010506209</v>
      </c>
      <c r="V29" s="28">
        <f t="shared" si="4"/>
        <v>16.422795288124799</v>
      </c>
      <c r="W29" s="28">
        <f t="shared" si="5"/>
        <v>7.6408787010506209</v>
      </c>
      <c r="X29" s="28">
        <f t="shared" si="6"/>
        <v>6.4921999363260108</v>
      </c>
      <c r="Y29" s="28">
        <f t="shared" si="7"/>
        <v>19.165870741801974</v>
      </c>
      <c r="Z29" s="28">
        <f t="shared" si="8"/>
        <v>15.281757402101242</v>
      </c>
      <c r="AA29" s="28">
        <f t="shared" si="9"/>
        <v>10.229863100923273</v>
      </c>
      <c r="AB29" s="28">
        <f t="shared" si="10"/>
        <v>2.8678764724609995</v>
      </c>
      <c r="AC29" s="28">
        <f t="shared" si="11"/>
        <v>0</v>
      </c>
      <c r="AD29" s="28">
        <f t="shared" si="12"/>
        <v>0</v>
      </c>
    </row>
    <row r="30" spans="3:30" ht="24.75" x14ac:dyDescent="0.2">
      <c r="C30" s="78" t="s">
        <v>75</v>
      </c>
      <c r="D30" s="76" t="s">
        <v>76</v>
      </c>
      <c r="E30" s="77">
        <v>25750000</v>
      </c>
      <c r="F30" s="77">
        <v>25750000</v>
      </c>
      <c r="G30" s="79">
        <v>0</v>
      </c>
      <c r="H30" s="79">
        <v>0</v>
      </c>
      <c r="I30" s="79">
        <v>0</v>
      </c>
      <c r="J30" s="77">
        <v>2500000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7">
        <v>23250000</v>
      </c>
      <c r="Q30" s="79">
        <v>0</v>
      </c>
      <c r="R30" s="79">
        <v>0</v>
      </c>
      <c r="S30" s="28">
        <f t="shared" si="1"/>
        <v>0</v>
      </c>
      <c r="T30" s="28">
        <f t="shared" si="2"/>
        <v>0</v>
      </c>
      <c r="U30" s="28">
        <f t="shared" si="3"/>
        <v>0</v>
      </c>
      <c r="V30" s="28">
        <f t="shared" si="4"/>
        <v>9.7087378640776691</v>
      </c>
      <c r="W30" s="28">
        <f t="shared" si="5"/>
        <v>0</v>
      </c>
      <c r="X30" s="28">
        <f t="shared" si="6"/>
        <v>0</v>
      </c>
      <c r="Y30" s="28">
        <f t="shared" si="7"/>
        <v>0</v>
      </c>
      <c r="Z30" s="28">
        <f t="shared" si="8"/>
        <v>0</v>
      </c>
      <c r="AA30" s="28">
        <f t="shared" si="9"/>
        <v>0</v>
      </c>
      <c r="AB30" s="28">
        <f t="shared" si="10"/>
        <v>90.291262135922338</v>
      </c>
      <c r="AC30" s="28">
        <f t="shared" si="11"/>
        <v>0</v>
      </c>
      <c r="AD30" s="28">
        <f t="shared" si="12"/>
        <v>0</v>
      </c>
    </row>
    <row r="31" spans="3:30" ht="16.5" x14ac:dyDescent="0.2">
      <c r="C31" s="2" t="s">
        <v>77</v>
      </c>
      <c r="D31" s="76" t="s">
        <v>78</v>
      </c>
      <c r="E31" s="3">
        <v>25750000</v>
      </c>
      <c r="F31" s="3">
        <v>25750000</v>
      </c>
      <c r="G31" s="4">
        <v>0</v>
      </c>
      <c r="H31" s="4">
        <v>0</v>
      </c>
      <c r="I31" s="4">
        <v>0</v>
      </c>
      <c r="J31" s="3">
        <v>2500000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3">
        <v>23250000</v>
      </c>
      <c r="Q31" s="4">
        <v>0</v>
      </c>
      <c r="R31" s="4">
        <v>0</v>
      </c>
      <c r="S31" s="28">
        <f t="shared" si="1"/>
        <v>0</v>
      </c>
      <c r="T31" s="28">
        <f t="shared" si="2"/>
        <v>0</v>
      </c>
      <c r="U31" s="28">
        <f t="shared" si="3"/>
        <v>0</v>
      </c>
      <c r="V31" s="28">
        <f t="shared" si="4"/>
        <v>9.7087378640776691</v>
      </c>
      <c r="W31" s="28">
        <f t="shared" si="5"/>
        <v>0</v>
      </c>
      <c r="X31" s="28">
        <f t="shared" si="6"/>
        <v>0</v>
      </c>
      <c r="Y31" s="28">
        <f t="shared" si="7"/>
        <v>0</v>
      </c>
      <c r="Z31" s="28">
        <f t="shared" si="8"/>
        <v>0</v>
      </c>
      <c r="AA31" s="28">
        <f t="shared" si="9"/>
        <v>0</v>
      </c>
      <c r="AB31" s="28">
        <f t="shared" si="10"/>
        <v>90.291262135922338</v>
      </c>
      <c r="AC31" s="28">
        <f t="shared" si="11"/>
        <v>0</v>
      </c>
      <c r="AD31" s="28">
        <f t="shared" si="12"/>
        <v>0</v>
      </c>
    </row>
    <row r="32" spans="3:30" ht="16.5" x14ac:dyDescent="0.2">
      <c r="C32" s="60" t="s">
        <v>79</v>
      </c>
      <c r="D32" s="60" t="s">
        <v>80</v>
      </c>
      <c r="E32" s="61">
        <v>6027640775</v>
      </c>
      <c r="F32" s="61">
        <v>6027640775</v>
      </c>
      <c r="G32" s="61">
        <v>280181362</v>
      </c>
      <c r="H32" s="61">
        <v>620528612</v>
      </c>
      <c r="I32" s="61">
        <v>509469162</v>
      </c>
      <c r="J32" s="61">
        <v>1296119222</v>
      </c>
      <c r="K32" s="61">
        <v>286408155</v>
      </c>
      <c r="L32" s="61">
        <v>108212850</v>
      </c>
      <c r="M32" s="61">
        <v>509763744</v>
      </c>
      <c r="N32" s="61">
        <v>301864275</v>
      </c>
      <c r="O32" s="61">
        <v>40000000</v>
      </c>
      <c r="P32" s="61">
        <v>1099081675</v>
      </c>
      <c r="Q32" s="61">
        <v>976011718</v>
      </c>
      <c r="R32" s="62">
        <v>0</v>
      </c>
      <c r="S32" s="28">
        <f t="shared" si="1"/>
        <v>4.6482757094959766</v>
      </c>
      <c r="T32" s="28">
        <f t="shared" si="2"/>
        <v>10.29471786994473</v>
      </c>
      <c r="U32" s="28">
        <f t="shared" si="3"/>
        <v>8.4522150708292667</v>
      </c>
      <c r="V32" s="28">
        <f t="shared" si="4"/>
        <v>21.502927436812953</v>
      </c>
      <c r="W32" s="28">
        <f t="shared" si="5"/>
        <v>4.7515796924709734</v>
      </c>
      <c r="X32" s="28">
        <f t="shared" si="6"/>
        <v>1.7952770252802599</v>
      </c>
      <c r="Y32" s="28">
        <f t="shared" si="7"/>
        <v>8.4571022565623952</v>
      </c>
      <c r="Z32" s="28">
        <f t="shared" si="8"/>
        <v>5.0080004145568875</v>
      </c>
      <c r="AA32" s="28">
        <f t="shared" si="9"/>
        <v>0.66360955294320767</v>
      </c>
      <c r="AB32" s="28">
        <f t="shared" si="10"/>
        <v>18.234027474870548</v>
      </c>
      <c r="AC32" s="28">
        <f t="shared" si="11"/>
        <v>16.192267496232805</v>
      </c>
      <c r="AD32" s="28">
        <f t="shared" si="12"/>
        <v>0</v>
      </c>
    </row>
    <row r="33" spans="3:30" ht="16.5" x14ac:dyDescent="0.2">
      <c r="C33" s="2" t="s">
        <v>81</v>
      </c>
      <c r="D33" s="76" t="s">
        <v>82</v>
      </c>
      <c r="E33" s="3">
        <v>73408600</v>
      </c>
      <c r="F33" s="3">
        <v>73408600</v>
      </c>
      <c r="G33" s="4">
        <v>0</v>
      </c>
      <c r="H33" s="3">
        <v>10000000</v>
      </c>
      <c r="I33" s="3">
        <v>10000000</v>
      </c>
      <c r="J33" s="3">
        <v>19124160</v>
      </c>
      <c r="K33" s="4">
        <v>0</v>
      </c>
      <c r="L33" s="4">
        <v>0</v>
      </c>
      <c r="M33" s="3">
        <v>15875840</v>
      </c>
      <c r="N33" s="3">
        <v>13414800</v>
      </c>
      <c r="O33" s="4">
        <v>0</v>
      </c>
      <c r="P33" s="4">
        <v>0</v>
      </c>
      <c r="Q33" s="3">
        <v>4993800</v>
      </c>
      <c r="R33" s="4">
        <v>0</v>
      </c>
      <c r="S33" s="28">
        <f t="shared" si="1"/>
        <v>0</v>
      </c>
      <c r="T33" s="28">
        <f t="shared" si="2"/>
        <v>13.622382118716336</v>
      </c>
      <c r="U33" s="28">
        <f t="shared" si="3"/>
        <v>13.622382118716336</v>
      </c>
      <c r="V33" s="28">
        <f t="shared" si="4"/>
        <v>26.051661521947018</v>
      </c>
      <c r="W33" s="28">
        <f t="shared" si="5"/>
        <v>0</v>
      </c>
      <c r="X33" s="28">
        <f t="shared" si="6"/>
        <v>0</v>
      </c>
      <c r="Y33" s="28">
        <f t="shared" si="7"/>
        <v>21.626675893560154</v>
      </c>
      <c r="Z33" s="28">
        <f t="shared" si="8"/>
        <v>18.274153164615591</v>
      </c>
      <c r="AA33" s="28">
        <f t="shared" si="9"/>
        <v>0</v>
      </c>
      <c r="AB33" s="28">
        <f t="shared" si="10"/>
        <v>0</v>
      </c>
      <c r="AC33" s="28">
        <f t="shared" si="11"/>
        <v>6.8027451824445642</v>
      </c>
      <c r="AD33" s="28">
        <f t="shared" si="12"/>
        <v>0</v>
      </c>
    </row>
    <row r="34" spans="3:30" ht="16.5" x14ac:dyDescent="0.2">
      <c r="C34" s="2" t="s">
        <v>83</v>
      </c>
      <c r="D34" s="76" t="s">
        <v>84</v>
      </c>
      <c r="E34" s="3">
        <v>1005526750</v>
      </c>
      <c r="F34" s="3">
        <v>1005526750</v>
      </c>
      <c r="G34" s="4">
        <v>0</v>
      </c>
      <c r="H34" s="3">
        <v>98300000</v>
      </c>
      <c r="I34" s="3">
        <v>30000000</v>
      </c>
      <c r="J34" s="3">
        <v>76319000</v>
      </c>
      <c r="K34" s="3">
        <v>22600000</v>
      </c>
      <c r="L34" s="4">
        <v>0</v>
      </c>
      <c r="M34" s="3">
        <v>249298750</v>
      </c>
      <c r="N34" s="4">
        <v>0</v>
      </c>
      <c r="O34" s="4">
        <v>0</v>
      </c>
      <c r="P34" s="3">
        <v>232909000</v>
      </c>
      <c r="Q34" s="3">
        <v>296100000</v>
      </c>
      <c r="R34" s="4">
        <v>0</v>
      </c>
      <c r="S34" s="28">
        <f t="shared" si="1"/>
        <v>0</v>
      </c>
      <c r="T34" s="28">
        <f t="shared" si="2"/>
        <v>9.7759706541869722</v>
      </c>
      <c r="U34" s="28">
        <f t="shared" si="3"/>
        <v>2.9835108812371227</v>
      </c>
      <c r="V34" s="28">
        <f t="shared" si="4"/>
        <v>7.5899522315045322</v>
      </c>
      <c r="W34" s="28">
        <f t="shared" si="5"/>
        <v>2.2475781971986324</v>
      </c>
      <c r="X34" s="28">
        <f t="shared" si="6"/>
        <v>0</v>
      </c>
      <c r="Y34" s="28">
        <f t="shared" si="7"/>
        <v>24.792851110127103</v>
      </c>
      <c r="Z34" s="28">
        <f t="shared" si="8"/>
        <v>0</v>
      </c>
      <c r="AA34" s="28">
        <f t="shared" si="9"/>
        <v>0</v>
      </c>
      <c r="AB34" s="28">
        <f t="shared" si="10"/>
        <v>23.162884527935233</v>
      </c>
      <c r="AC34" s="28">
        <f t="shared" si="11"/>
        <v>29.447252397810402</v>
      </c>
      <c r="AD34" s="28">
        <f t="shared" si="12"/>
        <v>0</v>
      </c>
    </row>
    <row r="35" spans="3:30" x14ac:dyDescent="0.2">
      <c r="C35" s="80" t="s">
        <v>85</v>
      </c>
      <c r="D35" s="80" t="s">
        <v>86</v>
      </c>
      <c r="E35" s="82">
        <v>1305599035</v>
      </c>
      <c r="F35" s="82">
        <v>1305599035</v>
      </c>
      <c r="G35" s="81">
        <v>0</v>
      </c>
      <c r="H35" s="81">
        <v>0</v>
      </c>
      <c r="I35" s="82">
        <v>89287800</v>
      </c>
      <c r="J35" s="82">
        <v>719296350</v>
      </c>
      <c r="K35" s="81">
        <v>0</v>
      </c>
      <c r="L35" s="81">
        <v>0</v>
      </c>
      <c r="M35" s="82">
        <v>55002510</v>
      </c>
      <c r="N35" s="81">
        <v>0</v>
      </c>
      <c r="O35" s="81">
        <v>0</v>
      </c>
      <c r="P35" s="82">
        <v>340963000</v>
      </c>
      <c r="Q35" s="82">
        <v>101049375</v>
      </c>
      <c r="R35" s="81">
        <v>0</v>
      </c>
      <c r="S35" s="28">
        <f t="shared" si="1"/>
        <v>0</v>
      </c>
      <c r="T35" s="28">
        <f t="shared" si="2"/>
        <v>0</v>
      </c>
      <c r="U35" s="28">
        <f t="shared" si="3"/>
        <v>6.8388377753358247</v>
      </c>
      <c r="V35" s="28">
        <f t="shared" si="4"/>
        <v>55.093204783197471</v>
      </c>
      <c r="W35" s="28">
        <f t="shared" si="5"/>
        <v>0</v>
      </c>
      <c r="X35" s="28">
        <f t="shared" si="6"/>
        <v>0</v>
      </c>
      <c r="Y35" s="28">
        <f t="shared" si="7"/>
        <v>4.2128179115879938</v>
      </c>
      <c r="Z35" s="28">
        <f t="shared" si="8"/>
        <v>0</v>
      </c>
      <c r="AA35" s="28">
        <f t="shared" si="9"/>
        <v>0</v>
      </c>
      <c r="AB35" s="28">
        <f t="shared" si="10"/>
        <v>26.115445160389537</v>
      </c>
      <c r="AC35" s="28">
        <f t="shared" si="11"/>
        <v>7.7396943694891753</v>
      </c>
      <c r="AD35" s="28">
        <f t="shared" si="12"/>
        <v>0</v>
      </c>
    </row>
    <row r="36" spans="3:30" x14ac:dyDescent="0.2">
      <c r="C36" s="80" t="s">
        <v>87</v>
      </c>
      <c r="D36" s="80" t="s">
        <v>88</v>
      </c>
      <c r="E36" s="82">
        <v>649841300</v>
      </c>
      <c r="F36" s="82">
        <v>649841300</v>
      </c>
      <c r="G36" s="81">
        <v>0</v>
      </c>
      <c r="H36" s="82">
        <v>113147250</v>
      </c>
      <c r="I36" s="81">
        <v>0</v>
      </c>
      <c r="J36" s="82">
        <v>81448350</v>
      </c>
      <c r="K36" s="82">
        <v>23605800</v>
      </c>
      <c r="L36" s="82">
        <v>36589450</v>
      </c>
      <c r="M36" s="81">
        <v>0</v>
      </c>
      <c r="N36" s="82">
        <v>124983075</v>
      </c>
      <c r="O36" s="81">
        <v>0</v>
      </c>
      <c r="P36" s="82">
        <v>117483075</v>
      </c>
      <c r="Q36" s="82">
        <v>152584300</v>
      </c>
      <c r="R36" s="81">
        <v>0</v>
      </c>
      <c r="S36" s="28">
        <f t="shared" si="1"/>
        <v>0</v>
      </c>
      <c r="T36" s="28">
        <f t="shared" si="2"/>
        <v>17.411520320422849</v>
      </c>
      <c r="U36" s="28">
        <f t="shared" si="3"/>
        <v>0</v>
      </c>
      <c r="V36" s="28">
        <f t="shared" si="4"/>
        <v>12.533575505281059</v>
      </c>
      <c r="W36" s="28">
        <f t="shared" si="5"/>
        <v>3.6325484391342937</v>
      </c>
      <c r="X36" s="28">
        <f t="shared" si="6"/>
        <v>5.6305208671717235</v>
      </c>
      <c r="Y36" s="28">
        <f t="shared" si="7"/>
        <v>0</v>
      </c>
      <c r="Z36" s="28">
        <f t="shared" si="8"/>
        <v>19.232861161640542</v>
      </c>
      <c r="AA36" s="28">
        <f t="shared" si="9"/>
        <v>0</v>
      </c>
      <c r="AB36" s="28">
        <f t="shared" si="10"/>
        <v>18.078733223019221</v>
      </c>
      <c r="AC36" s="28">
        <f t="shared" si="11"/>
        <v>23.480240483330313</v>
      </c>
      <c r="AD36" s="28">
        <f t="shared" si="12"/>
        <v>0</v>
      </c>
    </row>
    <row r="37" spans="3:30" x14ac:dyDescent="0.2">
      <c r="C37" s="80" t="s">
        <v>89</v>
      </c>
      <c r="D37" s="80" t="s">
        <v>90</v>
      </c>
      <c r="E37" s="82">
        <v>136369000</v>
      </c>
      <c r="F37" s="82">
        <v>136369000</v>
      </c>
      <c r="G37" s="81">
        <v>0</v>
      </c>
      <c r="H37" s="82">
        <v>18900000</v>
      </c>
      <c r="I37" s="81">
        <v>0</v>
      </c>
      <c r="J37" s="82">
        <v>18900000</v>
      </c>
      <c r="K37" s="81">
        <v>0</v>
      </c>
      <c r="L37" s="81">
        <v>0</v>
      </c>
      <c r="M37" s="81">
        <v>0</v>
      </c>
      <c r="N37" s="82">
        <v>20700000</v>
      </c>
      <c r="O37" s="81">
        <v>0</v>
      </c>
      <c r="P37" s="82">
        <v>20700000</v>
      </c>
      <c r="Q37" s="82">
        <v>57169000</v>
      </c>
      <c r="R37" s="81">
        <v>0</v>
      </c>
      <c r="S37" s="28">
        <f t="shared" si="1"/>
        <v>0</v>
      </c>
      <c r="T37" s="28">
        <f t="shared" si="2"/>
        <v>13.859454861442117</v>
      </c>
      <c r="U37" s="28">
        <f t="shared" si="3"/>
        <v>0</v>
      </c>
      <c r="V37" s="28">
        <f t="shared" si="4"/>
        <v>13.859454861442117</v>
      </c>
      <c r="W37" s="28">
        <f t="shared" si="5"/>
        <v>0</v>
      </c>
      <c r="X37" s="28">
        <f t="shared" si="6"/>
        <v>0</v>
      </c>
      <c r="Y37" s="28">
        <f t="shared" si="7"/>
        <v>0</v>
      </c>
      <c r="Z37" s="28">
        <f t="shared" si="8"/>
        <v>15.179402943484224</v>
      </c>
      <c r="AA37" s="28">
        <f t="shared" si="9"/>
        <v>0</v>
      </c>
      <c r="AB37" s="28">
        <f t="shared" si="10"/>
        <v>15.179402943484224</v>
      </c>
      <c r="AC37" s="28">
        <f t="shared" si="11"/>
        <v>41.922284390147318</v>
      </c>
      <c r="AD37" s="28">
        <f t="shared" si="12"/>
        <v>0</v>
      </c>
    </row>
    <row r="38" spans="3:30" ht="16.5" x14ac:dyDescent="0.2">
      <c r="C38" s="2" t="s">
        <v>91</v>
      </c>
      <c r="D38" s="76" t="s">
        <v>92</v>
      </c>
      <c r="E38" s="3">
        <v>22400000</v>
      </c>
      <c r="F38" s="3">
        <v>22400000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3">
        <v>12400000</v>
      </c>
      <c r="N38" s="4">
        <v>0</v>
      </c>
      <c r="O38" s="4">
        <v>0</v>
      </c>
      <c r="P38" s="3">
        <v>10000000</v>
      </c>
      <c r="Q38" s="4">
        <v>0</v>
      </c>
      <c r="R38" s="4">
        <v>0</v>
      </c>
      <c r="S38" s="28">
        <f t="shared" si="1"/>
        <v>0</v>
      </c>
      <c r="T38" s="28">
        <f t="shared" si="2"/>
        <v>0</v>
      </c>
      <c r="U38" s="28">
        <f t="shared" si="3"/>
        <v>0</v>
      </c>
      <c r="V38" s="28">
        <f t="shared" si="4"/>
        <v>0</v>
      </c>
      <c r="W38" s="28">
        <f t="shared" si="5"/>
        <v>0</v>
      </c>
      <c r="X38" s="28">
        <f t="shared" si="6"/>
        <v>0</v>
      </c>
      <c r="Y38" s="28">
        <f t="shared" si="7"/>
        <v>55.357142857142861</v>
      </c>
      <c r="Z38" s="28">
        <f t="shared" si="8"/>
        <v>0</v>
      </c>
      <c r="AA38" s="28">
        <f t="shared" si="9"/>
        <v>0</v>
      </c>
      <c r="AB38" s="28">
        <f t="shared" si="10"/>
        <v>44.642857142857146</v>
      </c>
      <c r="AC38" s="28">
        <f t="shared" si="11"/>
        <v>0</v>
      </c>
      <c r="AD38" s="28">
        <f t="shared" si="12"/>
        <v>0</v>
      </c>
    </row>
    <row r="39" spans="3:30" ht="16.5" x14ac:dyDescent="0.2">
      <c r="C39" s="2" t="s">
        <v>93</v>
      </c>
      <c r="D39" s="76" t="s">
        <v>94</v>
      </c>
      <c r="E39" s="3">
        <v>2820526090</v>
      </c>
      <c r="F39" s="3">
        <v>2820526090</v>
      </c>
      <c r="G39" s="3">
        <v>280181362</v>
      </c>
      <c r="H39" s="3">
        <v>380181362</v>
      </c>
      <c r="I39" s="3">
        <v>380181362</v>
      </c>
      <c r="J39" s="3">
        <v>380181362</v>
      </c>
      <c r="K39" s="3">
        <v>238998755</v>
      </c>
      <c r="L39" s="3">
        <v>70000000</v>
      </c>
      <c r="M39" s="3">
        <v>171686644</v>
      </c>
      <c r="N39" s="3">
        <v>140000000</v>
      </c>
      <c r="O39" s="3">
        <v>40000000</v>
      </c>
      <c r="P39" s="3">
        <v>375000000</v>
      </c>
      <c r="Q39" s="3">
        <v>364115243</v>
      </c>
      <c r="R39" s="4">
        <v>0</v>
      </c>
      <c r="S39" s="28">
        <f t="shared" si="1"/>
        <v>9.9336561003057398</v>
      </c>
      <c r="T39" s="28">
        <f t="shared" si="2"/>
        <v>13.479093965764379</v>
      </c>
      <c r="U39" s="28">
        <f t="shared" si="3"/>
        <v>13.479093965764379</v>
      </c>
      <c r="V39" s="28">
        <f t="shared" si="4"/>
        <v>13.479093965764379</v>
      </c>
      <c r="W39" s="28">
        <f t="shared" si="5"/>
        <v>8.4735523577447207</v>
      </c>
      <c r="X39" s="28">
        <f t="shared" si="6"/>
        <v>2.481806505821047</v>
      </c>
      <c r="Y39" s="28">
        <f t="shared" si="7"/>
        <v>6.0870432863111716</v>
      </c>
      <c r="Z39" s="28">
        <f t="shared" si="8"/>
        <v>4.963613011642094</v>
      </c>
      <c r="AA39" s="28">
        <f t="shared" si="9"/>
        <v>1.4181751461834555</v>
      </c>
      <c r="AB39" s="28">
        <f t="shared" si="10"/>
        <v>13.295391995469894</v>
      </c>
      <c r="AC39" s="28">
        <f t="shared" si="11"/>
        <v>12.909479699228735</v>
      </c>
      <c r="AD39" s="28">
        <f t="shared" si="12"/>
        <v>0</v>
      </c>
    </row>
    <row r="40" spans="3:30" x14ac:dyDescent="0.2">
      <c r="C40" s="80" t="s">
        <v>95</v>
      </c>
      <c r="D40" s="80" t="s">
        <v>96</v>
      </c>
      <c r="E40" s="82">
        <v>13970000</v>
      </c>
      <c r="F40" s="82">
        <v>13970000</v>
      </c>
      <c r="G40" s="81">
        <v>0</v>
      </c>
      <c r="H40" s="81">
        <v>0</v>
      </c>
      <c r="I40" s="81">
        <v>0</v>
      </c>
      <c r="J40" s="82">
        <v>850000</v>
      </c>
      <c r="K40" s="82">
        <v>1203600</v>
      </c>
      <c r="L40" s="82">
        <v>1623400</v>
      </c>
      <c r="M40" s="82">
        <v>5500000</v>
      </c>
      <c r="N40" s="82">
        <v>2766400</v>
      </c>
      <c r="O40" s="81">
        <v>0</v>
      </c>
      <c r="P40" s="82">
        <v>2026600</v>
      </c>
      <c r="Q40" s="81">
        <v>0</v>
      </c>
      <c r="R40" s="81">
        <v>0</v>
      </c>
      <c r="S40" s="28">
        <f t="shared" si="1"/>
        <v>0</v>
      </c>
      <c r="T40" s="28">
        <f t="shared" si="2"/>
        <v>0</v>
      </c>
      <c r="U40" s="28">
        <f t="shared" si="3"/>
        <v>0</v>
      </c>
      <c r="V40" s="28">
        <f t="shared" si="4"/>
        <v>6.0844667143879736</v>
      </c>
      <c r="W40" s="28">
        <f t="shared" si="5"/>
        <v>8.6156048675733725</v>
      </c>
      <c r="X40" s="28">
        <f t="shared" si="6"/>
        <v>11.620615604867574</v>
      </c>
      <c r="Y40" s="28">
        <f t="shared" si="7"/>
        <v>39.370078740157481</v>
      </c>
      <c r="Z40" s="28">
        <f t="shared" si="8"/>
        <v>19.802433786685754</v>
      </c>
      <c r="AA40" s="28">
        <f t="shared" si="9"/>
        <v>0</v>
      </c>
      <c r="AB40" s="28">
        <f t="shared" si="10"/>
        <v>14.506800286327845</v>
      </c>
      <c r="AC40" s="28">
        <f t="shared" si="11"/>
        <v>0</v>
      </c>
      <c r="AD40" s="28">
        <f t="shared" si="12"/>
        <v>0</v>
      </c>
    </row>
    <row r="41" spans="3:30" ht="24.75" x14ac:dyDescent="0.2">
      <c r="C41" s="78" t="s">
        <v>97</v>
      </c>
      <c r="D41" s="76" t="s">
        <v>98</v>
      </c>
      <c r="E41" s="77">
        <v>9015401627</v>
      </c>
      <c r="F41" s="77">
        <v>9015401627</v>
      </c>
      <c r="G41" s="79">
        <v>0</v>
      </c>
      <c r="H41" s="79">
        <v>0</v>
      </c>
      <c r="I41" s="79">
        <v>0</v>
      </c>
      <c r="J41" s="77">
        <v>6170400000</v>
      </c>
      <c r="K41" s="79">
        <v>0</v>
      </c>
      <c r="L41" s="79">
        <v>0</v>
      </c>
      <c r="M41" s="77">
        <v>528137700</v>
      </c>
      <c r="N41" s="77">
        <v>13665000</v>
      </c>
      <c r="O41" s="77">
        <v>48975000</v>
      </c>
      <c r="P41" s="77">
        <v>863469522</v>
      </c>
      <c r="Q41" s="77">
        <v>1390754405</v>
      </c>
      <c r="R41" s="79">
        <v>0</v>
      </c>
      <c r="S41" s="28">
        <f t="shared" si="1"/>
        <v>0</v>
      </c>
      <c r="T41" s="28">
        <f t="shared" si="2"/>
        <v>0</v>
      </c>
      <c r="U41" s="28">
        <f t="shared" si="3"/>
        <v>0</v>
      </c>
      <c r="V41" s="28">
        <f t="shared" si="4"/>
        <v>68.442874264419061</v>
      </c>
      <c r="W41" s="28">
        <f t="shared" si="5"/>
        <v>0</v>
      </c>
      <c r="X41" s="28">
        <f t="shared" si="6"/>
        <v>0</v>
      </c>
      <c r="Y41" s="28">
        <f t="shared" si="7"/>
        <v>5.8581716250809466</v>
      </c>
      <c r="Z41" s="28">
        <f t="shared" si="8"/>
        <v>0.15157394606885879</v>
      </c>
      <c r="AA41" s="28">
        <f t="shared" si="9"/>
        <v>0.54323702954426345</v>
      </c>
      <c r="AB41" s="28">
        <f t="shared" si="10"/>
        <v>9.5777155330941302</v>
      </c>
      <c r="AC41" s="28">
        <f t="shared" si="11"/>
        <v>15.426427601792742</v>
      </c>
      <c r="AD41" s="28">
        <f t="shared" si="12"/>
        <v>0</v>
      </c>
    </row>
  </sheetData>
  <mergeCells count="32">
    <mergeCell ref="C13:D13"/>
    <mergeCell ref="G13:L13"/>
    <mergeCell ref="M13:R13"/>
    <mergeCell ref="C15:R15"/>
    <mergeCell ref="C7:R7"/>
    <mergeCell ref="C11:D11"/>
    <mergeCell ref="C12:D12"/>
    <mergeCell ref="G12:I12"/>
    <mergeCell ref="J12:L12"/>
    <mergeCell ref="M12:O12"/>
    <mergeCell ref="P12:R12"/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zoomScale="115" zoomScaleNormal="115" workbookViewId="0">
      <selection activeCell="C16" sqref="C16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50" t="s">
        <v>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10"/>
    </row>
    <row r="2" spans="1:30" ht="12.6" customHeight="1" x14ac:dyDescent="0.2">
      <c r="B2" s="27"/>
      <c r="C2" s="27"/>
      <c r="D2" s="27"/>
      <c r="E2" s="27"/>
      <c r="F2" s="27"/>
      <c r="G2" s="52" t="s">
        <v>29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2" t="s">
        <v>30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3"/>
    </row>
    <row r="3" spans="1:30" s="5" customFormat="1" ht="13.35" customHeight="1" x14ac:dyDescent="0.2">
      <c r="A3" s="24" t="s">
        <v>28</v>
      </c>
      <c r="B3" s="24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 x14ac:dyDescent="0.2">
      <c r="A4" s="24"/>
      <c r="B4" s="24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 x14ac:dyDescent="0.2">
      <c r="A5" s="24"/>
      <c r="B5" s="24"/>
      <c r="C5" s="25" t="s">
        <v>26</v>
      </c>
      <c r="D5" s="26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9" t="s">
        <v>32</v>
      </c>
      <c r="T5" s="29" t="s">
        <v>31</v>
      </c>
      <c r="U5" s="29" t="s">
        <v>33</v>
      </c>
      <c r="V5" s="29" t="s">
        <v>17</v>
      </c>
      <c r="W5" s="29" t="s">
        <v>34</v>
      </c>
      <c r="X5" s="29" t="s">
        <v>35</v>
      </c>
      <c r="Y5" s="29" t="s">
        <v>36</v>
      </c>
      <c r="Z5" s="29" t="s">
        <v>37</v>
      </c>
      <c r="AA5" s="29" t="s">
        <v>22</v>
      </c>
      <c r="AB5" s="29" t="s">
        <v>38</v>
      </c>
      <c r="AC5" s="29" t="s">
        <v>24</v>
      </c>
      <c r="AD5" s="29" t="s">
        <v>39</v>
      </c>
    </row>
    <row r="6" spans="1:30" x14ac:dyDescent="0.2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8" t="e">
        <f>G6/$E6*100</f>
        <v>#DIV/0!</v>
      </c>
      <c r="T6" s="28" t="e">
        <f t="shared" ref="T6:AD6" si="0">H6/$E6*100</f>
        <v>#DIV/0!</v>
      </c>
      <c r="U6" s="28" t="e">
        <f t="shared" si="0"/>
        <v>#DIV/0!</v>
      </c>
      <c r="V6" s="28" t="e">
        <f t="shared" si="0"/>
        <v>#DIV/0!</v>
      </c>
      <c r="W6" s="28" t="e">
        <f t="shared" si="0"/>
        <v>#DIV/0!</v>
      </c>
      <c r="X6" s="28" t="e">
        <f t="shared" si="0"/>
        <v>#DIV/0!</v>
      </c>
      <c r="Y6" s="28" t="e">
        <f t="shared" si="0"/>
        <v>#DIV/0!</v>
      </c>
      <c r="Z6" s="28" t="e">
        <f t="shared" si="0"/>
        <v>#DIV/0!</v>
      </c>
      <c r="AA6" s="28" t="e">
        <f t="shared" si="0"/>
        <v>#DIV/0!</v>
      </c>
      <c r="AB6" s="28" t="e">
        <f t="shared" si="0"/>
        <v>#DIV/0!</v>
      </c>
      <c r="AC6" s="28" t="e">
        <f t="shared" si="0"/>
        <v>#DIV/0!</v>
      </c>
      <c r="AD6" s="28" t="e">
        <f t="shared" si="0"/>
        <v>#DIV/0!</v>
      </c>
    </row>
    <row r="7" spans="1:30" x14ac:dyDescent="0.2">
      <c r="C7" s="64" t="s">
        <v>99</v>
      </c>
      <c r="D7" s="65"/>
      <c r="E7" s="83">
        <v>178160044215</v>
      </c>
      <c r="F7" s="66">
        <v>178160044215</v>
      </c>
      <c r="G7" s="68">
        <v>83887044806</v>
      </c>
      <c r="H7" s="69"/>
      <c r="I7" s="69"/>
      <c r="J7" s="69"/>
      <c r="K7" s="69"/>
      <c r="L7" s="70"/>
      <c r="M7" s="68">
        <v>94272999409</v>
      </c>
      <c r="N7" s="69"/>
      <c r="O7" s="69"/>
      <c r="P7" s="69"/>
      <c r="Q7" s="69"/>
      <c r="R7" s="70"/>
      <c r="S7" s="28">
        <f t="shared" ref="S7:S41" si="1">G7/$E7*100</f>
        <v>47.085217774624475</v>
      </c>
      <c r="T7" s="28">
        <f t="shared" ref="T7:T41" si="2">H7/$E7*100</f>
        <v>0</v>
      </c>
      <c r="U7" s="28">
        <f t="shared" ref="U7:U41" si="3">I7/$E7*100</f>
        <v>0</v>
      </c>
      <c r="V7" s="28">
        <f t="shared" ref="V7:V41" si="4">J7/$E7*100</f>
        <v>0</v>
      </c>
      <c r="W7" s="28">
        <f t="shared" ref="W7:W41" si="5">K7/$E7*100</f>
        <v>0</v>
      </c>
      <c r="X7" s="28">
        <f t="shared" ref="X7:X41" si="6">L7/$E7*100</f>
        <v>0</v>
      </c>
      <c r="Y7" s="28">
        <f t="shared" ref="Y7:Y41" si="7">M7/$E7*100</f>
        <v>52.914782225375525</v>
      </c>
      <c r="Z7" s="28">
        <f t="shared" ref="Z7:Z41" si="8">N7/$E7*100</f>
        <v>0</v>
      </c>
      <c r="AA7" s="28">
        <f t="shared" ref="AA7:AA41" si="9">O7/$E7*100</f>
        <v>0</v>
      </c>
      <c r="AB7" s="28">
        <f t="shared" ref="AB7:AB41" si="10">P7/$E7*100</f>
        <v>0</v>
      </c>
      <c r="AC7" s="28">
        <f t="shared" ref="AC7:AC41" si="11">Q7/$E7*100</f>
        <v>0</v>
      </c>
      <c r="AD7" s="28">
        <f t="shared" ref="AD7:AD41" si="12">R7/$E7*100</f>
        <v>0</v>
      </c>
    </row>
    <row r="8" spans="1:30" x14ac:dyDescent="0.2">
      <c r="C8" s="35" t="s">
        <v>100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28" t="e">
        <f t="shared" si="1"/>
        <v>#DIV/0!</v>
      </c>
      <c r="T8" s="28" t="e">
        <f t="shared" si="2"/>
        <v>#DIV/0!</v>
      </c>
      <c r="U8" s="28" t="e">
        <f t="shared" si="3"/>
        <v>#DIV/0!</v>
      </c>
      <c r="V8" s="28" t="e">
        <f t="shared" si="4"/>
        <v>#DIV/0!</v>
      </c>
      <c r="W8" s="28" t="e">
        <f t="shared" si="5"/>
        <v>#DIV/0!</v>
      </c>
      <c r="X8" s="28" t="e">
        <f t="shared" si="6"/>
        <v>#DIV/0!</v>
      </c>
      <c r="Y8" s="28" t="e">
        <f t="shared" si="7"/>
        <v>#DIV/0!</v>
      </c>
      <c r="Z8" s="28" t="e">
        <f t="shared" si="8"/>
        <v>#DIV/0!</v>
      </c>
      <c r="AA8" s="28" t="e">
        <f t="shared" si="9"/>
        <v>#DIV/0!</v>
      </c>
      <c r="AB8" s="28" t="e">
        <f t="shared" si="10"/>
        <v>#DIV/0!</v>
      </c>
      <c r="AC8" s="28" t="e">
        <f t="shared" si="11"/>
        <v>#DIV/0!</v>
      </c>
      <c r="AD8" s="28" t="e">
        <f t="shared" si="12"/>
        <v>#DIV/0!</v>
      </c>
    </row>
    <row r="9" spans="1:30" x14ac:dyDescent="0.2">
      <c r="C9" s="35" t="s">
        <v>101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28" t="e">
        <f t="shared" si="1"/>
        <v>#DIV/0!</v>
      </c>
      <c r="T9" s="28" t="e">
        <f t="shared" si="2"/>
        <v>#DIV/0!</v>
      </c>
      <c r="U9" s="28" t="e">
        <f t="shared" si="3"/>
        <v>#DIV/0!</v>
      </c>
      <c r="V9" s="28" t="e">
        <f t="shared" si="4"/>
        <v>#DIV/0!</v>
      </c>
      <c r="W9" s="28" t="e">
        <f t="shared" si="5"/>
        <v>#DIV/0!</v>
      </c>
      <c r="X9" s="28" t="e">
        <f t="shared" si="6"/>
        <v>#DIV/0!</v>
      </c>
      <c r="Y9" s="28" t="e">
        <f t="shared" si="7"/>
        <v>#DIV/0!</v>
      </c>
      <c r="Z9" s="28" t="e">
        <f t="shared" si="8"/>
        <v>#DIV/0!</v>
      </c>
      <c r="AA9" s="28" t="e">
        <f t="shared" si="9"/>
        <v>#DIV/0!</v>
      </c>
      <c r="AB9" s="28" t="e">
        <f t="shared" si="10"/>
        <v>#DIV/0!</v>
      </c>
      <c r="AC9" s="28" t="e">
        <f t="shared" si="11"/>
        <v>#DIV/0!</v>
      </c>
      <c r="AD9" s="28" t="e">
        <f t="shared" si="12"/>
        <v>#DIV/0!</v>
      </c>
    </row>
    <row r="10" spans="1:30" x14ac:dyDescent="0.2">
      <c r="S10" s="28" t="e">
        <f t="shared" si="1"/>
        <v>#DIV/0!</v>
      </c>
      <c r="T10" s="28" t="e">
        <f t="shared" si="2"/>
        <v>#DIV/0!</v>
      </c>
      <c r="U10" s="28" t="e">
        <f t="shared" si="3"/>
        <v>#DIV/0!</v>
      </c>
      <c r="V10" s="28" t="e">
        <f t="shared" si="4"/>
        <v>#DIV/0!</v>
      </c>
      <c r="W10" s="28" t="e">
        <f t="shared" si="5"/>
        <v>#DIV/0!</v>
      </c>
      <c r="X10" s="28" t="e">
        <f t="shared" si="6"/>
        <v>#DIV/0!</v>
      </c>
      <c r="Y10" s="28" t="e">
        <f t="shared" si="7"/>
        <v>#DIV/0!</v>
      </c>
      <c r="Z10" s="28" t="e">
        <f t="shared" si="8"/>
        <v>#DIV/0!</v>
      </c>
      <c r="AA10" s="28" t="e">
        <f t="shared" si="9"/>
        <v>#DIV/0!</v>
      </c>
      <c r="AB10" s="28" t="e">
        <f t="shared" si="10"/>
        <v>#DIV/0!</v>
      </c>
      <c r="AC10" s="28" t="e">
        <f t="shared" si="11"/>
        <v>#DIV/0!</v>
      </c>
      <c r="AD10" s="28" t="e">
        <f t="shared" si="12"/>
        <v>#DIV/0!</v>
      </c>
    </row>
    <row r="11" spans="1:30" x14ac:dyDescent="0.2">
      <c r="S11" s="28" t="e">
        <f t="shared" si="1"/>
        <v>#DIV/0!</v>
      </c>
      <c r="T11" s="28" t="e">
        <f t="shared" si="2"/>
        <v>#DIV/0!</v>
      </c>
      <c r="U11" s="28" t="e">
        <f t="shared" si="3"/>
        <v>#DIV/0!</v>
      </c>
      <c r="V11" s="28" t="e">
        <f t="shared" si="4"/>
        <v>#DIV/0!</v>
      </c>
      <c r="W11" s="28" t="e">
        <f t="shared" si="5"/>
        <v>#DIV/0!</v>
      </c>
      <c r="X11" s="28" t="e">
        <f t="shared" si="6"/>
        <v>#DIV/0!</v>
      </c>
      <c r="Y11" s="28" t="e">
        <f t="shared" si="7"/>
        <v>#DIV/0!</v>
      </c>
      <c r="Z11" s="28" t="e">
        <f t="shared" si="8"/>
        <v>#DIV/0!</v>
      </c>
      <c r="AA11" s="28" t="e">
        <f t="shared" si="9"/>
        <v>#DIV/0!</v>
      </c>
      <c r="AB11" s="28" t="e">
        <f t="shared" si="10"/>
        <v>#DIV/0!</v>
      </c>
      <c r="AC11" s="28" t="e">
        <f t="shared" si="11"/>
        <v>#DIV/0!</v>
      </c>
      <c r="AD11" s="28" t="e">
        <f t="shared" si="12"/>
        <v>#DIV/0!</v>
      </c>
    </row>
    <row r="12" spans="1:30" x14ac:dyDescent="0.2">
      <c r="S12" s="28" t="e">
        <f t="shared" si="1"/>
        <v>#DIV/0!</v>
      </c>
      <c r="T12" s="28" t="e">
        <f t="shared" si="2"/>
        <v>#DIV/0!</v>
      </c>
      <c r="U12" s="28" t="e">
        <f t="shared" si="3"/>
        <v>#DIV/0!</v>
      </c>
      <c r="V12" s="28" t="e">
        <f t="shared" si="4"/>
        <v>#DIV/0!</v>
      </c>
      <c r="W12" s="28" t="e">
        <f t="shared" si="5"/>
        <v>#DIV/0!</v>
      </c>
      <c r="X12" s="28" t="e">
        <f t="shared" si="6"/>
        <v>#DIV/0!</v>
      </c>
      <c r="Y12" s="28" t="e">
        <f t="shared" si="7"/>
        <v>#DIV/0!</v>
      </c>
      <c r="Z12" s="28" t="e">
        <f t="shared" si="8"/>
        <v>#DIV/0!</v>
      </c>
      <c r="AA12" s="28" t="e">
        <f t="shared" si="9"/>
        <v>#DIV/0!</v>
      </c>
      <c r="AB12" s="28" t="e">
        <f t="shared" si="10"/>
        <v>#DIV/0!</v>
      </c>
      <c r="AC12" s="28" t="e">
        <f t="shared" si="11"/>
        <v>#DIV/0!</v>
      </c>
      <c r="AD12" s="28" t="e">
        <f t="shared" si="12"/>
        <v>#DIV/0!</v>
      </c>
    </row>
    <row r="13" spans="1:30" x14ac:dyDescent="0.2">
      <c r="S13" s="28" t="e">
        <f t="shared" si="1"/>
        <v>#DIV/0!</v>
      </c>
      <c r="T13" s="28" t="e">
        <f t="shared" si="2"/>
        <v>#DIV/0!</v>
      </c>
      <c r="U13" s="28" t="e">
        <f t="shared" si="3"/>
        <v>#DIV/0!</v>
      </c>
      <c r="V13" s="28" t="e">
        <f t="shared" si="4"/>
        <v>#DIV/0!</v>
      </c>
      <c r="W13" s="28" t="e">
        <f t="shared" si="5"/>
        <v>#DIV/0!</v>
      </c>
      <c r="X13" s="28" t="e">
        <f t="shared" si="6"/>
        <v>#DIV/0!</v>
      </c>
      <c r="Y13" s="28" t="e">
        <f t="shared" si="7"/>
        <v>#DIV/0!</v>
      </c>
      <c r="Z13" s="28" t="e">
        <f t="shared" si="8"/>
        <v>#DIV/0!</v>
      </c>
      <c r="AA13" s="28" t="e">
        <f t="shared" si="9"/>
        <v>#DIV/0!</v>
      </c>
      <c r="AB13" s="28" t="e">
        <f t="shared" si="10"/>
        <v>#DIV/0!</v>
      </c>
      <c r="AC13" s="28" t="e">
        <f t="shared" si="11"/>
        <v>#DIV/0!</v>
      </c>
      <c r="AD13" s="28" t="e">
        <f t="shared" si="12"/>
        <v>#DIV/0!</v>
      </c>
    </row>
    <row r="14" spans="1:30" x14ac:dyDescent="0.2">
      <c r="S14" s="28" t="e">
        <f t="shared" si="1"/>
        <v>#DIV/0!</v>
      </c>
      <c r="T14" s="28" t="e">
        <f t="shared" si="2"/>
        <v>#DIV/0!</v>
      </c>
      <c r="U14" s="28" t="e">
        <f t="shared" si="3"/>
        <v>#DIV/0!</v>
      </c>
      <c r="V14" s="28" t="e">
        <f t="shared" si="4"/>
        <v>#DIV/0!</v>
      </c>
      <c r="W14" s="28" t="e">
        <f t="shared" si="5"/>
        <v>#DIV/0!</v>
      </c>
      <c r="X14" s="28" t="e">
        <f t="shared" si="6"/>
        <v>#DIV/0!</v>
      </c>
      <c r="Y14" s="28" t="e">
        <f t="shared" si="7"/>
        <v>#DIV/0!</v>
      </c>
      <c r="Z14" s="28" t="e">
        <f t="shared" si="8"/>
        <v>#DIV/0!</v>
      </c>
      <c r="AA14" s="28" t="e">
        <f t="shared" si="9"/>
        <v>#DIV/0!</v>
      </c>
      <c r="AB14" s="28" t="e">
        <f t="shared" si="10"/>
        <v>#DIV/0!</v>
      </c>
      <c r="AC14" s="28" t="e">
        <f t="shared" si="11"/>
        <v>#DIV/0!</v>
      </c>
      <c r="AD14" s="28" t="e">
        <f t="shared" si="12"/>
        <v>#DIV/0!</v>
      </c>
    </row>
    <row r="15" spans="1:30" x14ac:dyDescent="0.2">
      <c r="S15" s="28" t="e">
        <f t="shared" si="1"/>
        <v>#DIV/0!</v>
      </c>
      <c r="T15" s="28" t="e">
        <f t="shared" si="2"/>
        <v>#DIV/0!</v>
      </c>
      <c r="U15" s="28" t="e">
        <f t="shared" si="3"/>
        <v>#DIV/0!</v>
      </c>
      <c r="V15" s="28" t="e">
        <f t="shared" si="4"/>
        <v>#DIV/0!</v>
      </c>
      <c r="W15" s="28" t="e">
        <f t="shared" si="5"/>
        <v>#DIV/0!</v>
      </c>
      <c r="X15" s="28" t="e">
        <f t="shared" si="6"/>
        <v>#DIV/0!</v>
      </c>
      <c r="Y15" s="28" t="e">
        <f t="shared" si="7"/>
        <v>#DIV/0!</v>
      </c>
      <c r="Z15" s="28" t="e">
        <f t="shared" si="8"/>
        <v>#DIV/0!</v>
      </c>
      <c r="AA15" s="28" t="e">
        <f t="shared" si="9"/>
        <v>#DIV/0!</v>
      </c>
      <c r="AB15" s="28" t="e">
        <f t="shared" si="10"/>
        <v>#DIV/0!</v>
      </c>
      <c r="AC15" s="28" t="e">
        <f t="shared" si="11"/>
        <v>#DIV/0!</v>
      </c>
      <c r="AD15" s="28" t="e">
        <f t="shared" si="12"/>
        <v>#DIV/0!</v>
      </c>
    </row>
    <row r="16" spans="1:30" x14ac:dyDescent="0.2">
      <c r="S16" s="28" t="e">
        <f t="shared" si="1"/>
        <v>#DIV/0!</v>
      </c>
      <c r="T16" s="28" t="e">
        <f t="shared" si="2"/>
        <v>#DIV/0!</v>
      </c>
      <c r="U16" s="28" t="e">
        <f t="shared" si="3"/>
        <v>#DIV/0!</v>
      </c>
      <c r="V16" s="28" t="e">
        <f t="shared" si="4"/>
        <v>#DIV/0!</v>
      </c>
      <c r="W16" s="28" t="e">
        <f t="shared" si="5"/>
        <v>#DIV/0!</v>
      </c>
      <c r="X16" s="28" t="e">
        <f t="shared" si="6"/>
        <v>#DIV/0!</v>
      </c>
      <c r="Y16" s="28" t="e">
        <f t="shared" si="7"/>
        <v>#DIV/0!</v>
      </c>
      <c r="Z16" s="28" t="e">
        <f t="shared" si="8"/>
        <v>#DIV/0!</v>
      </c>
      <c r="AA16" s="28" t="e">
        <f t="shared" si="9"/>
        <v>#DIV/0!</v>
      </c>
      <c r="AB16" s="28" t="e">
        <f t="shared" si="10"/>
        <v>#DIV/0!</v>
      </c>
      <c r="AC16" s="28" t="e">
        <f t="shared" si="11"/>
        <v>#DIV/0!</v>
      </c>
      <c r="AD16" s="28" t="e">
        <f t="shared" si="12"/>
        <v>#DIV/0!</v>
      </c>
    </row>
    <row r="17" spans="19:30" x14ac:dyDescent="0.2">
      <c r="S17" s="28" t="e">
        <f t="shared" si="1"/>
        <v>#DIV/0!</v>
      </c>
      <c r="T17" s="28" t="e">
        <f t="shared" si="2"/>
        <v>#DIV/0!</v>
      </c>
      <c r="U17" s="28" t="e">
        <f t="shared" si="3"/>
        <v>#DIV/0!</v>
      </c>
      <c r="V17" s="28" t="e">
        <f t="shared" si="4"/>
        <v>#DIV/0!</v>
      </c>
      <c r="W17" s="28" t="e">
        <f t="shared" si="5"/>
        <v>#DIV/0!</v>
      </c>
      <c r="X17" s="28" t="e">
        <f t="shared" si="6"/>
        <v>#DIV/0!</v>
      </c>
      <c r="Y17" s="28" t="e">
        <f t="shared" si="7"/>
        <v>#DIV/0!</v>
      </c>
      <c r="Z17" s="28" t="e">
        <f t="shared" si="8"/>
        <v>#DIV/0!</v>
      </c>
      <c r="AA17" s="28" t="e">
        <f t="shared" si="9"/>
        <v>#DIV/0!</v>
      </c>
      <c r="AB17" s="28" t="e">
        <f t="shared" si="10"/>
        <v>#DIV/0!</v>
      </c>
      <c r="AC17" s="28" t="e">
        <f t="shared" si="11"/>
        <v>#DIV/0!</v>
      </c>
      <c r="AD17" s="28" t="e">
        <f t="shared" si="12"/>
        <v>#DIV/0!</v>
      </c>
    </row>
    <row r="18" spans="19:30" x14ac:dyDescent="0.2">
      <c r="S18" s="28" t="e">
        <f t="shared" si="1"/>
        <v>#DIV/0!</v>
      </c>
      <c r="T18" s="28" t="e">
        <f t="shared" si="2"/>
        <v>#DIV/0!</v>
      </c>
      <c r="U18" s="28" t="e">
        <f t="shared" si="3"/>
        <v>#DIV/0!</v>
      </c>
      <c r="V18" s="28" t="e">
        <f t="shared" si="4"/>
        <v>#DIV/0!</v>
      </c>
      <c r="W18" s="28" t="e">
        <f t="shared" si="5"/>
        <v>#DIV/0!</v>
      </c>
      <c r="X18" s="28" t="e">
        <f t="shared" si="6"/>
        <v>#DIV/0!</v>
      </c>
      <c r="Y18" s="28" t="e">
        <f t="shared" si="7"/>
        <v>#DIV/0!</v>
      </c>
      <c r="Z18" s="28" t="e">
        <f t="shared" si="8"/>
        <v>#DIV/0!</v>
      </c>
      <c r="AA18" s="28" t="e">
        <f t="shared" si="9"/>
        <v>#DIV/0!</v>
      </c>
      <c r="AB18" s="28" t="e">
        <f t="shared" si="10"/>
        <v>#DIV/0!</v>
      </c>
      <c r="AC18" s="28" t="e">
        <f t="shared" si="11"/>
        <v>#DIV/0!</v>
      </c>
      <c r="AD18" s="28" t="e">
        <f t="shared" si="12"/>
        <v>#DIV/0!</v>
      </c>
    </row>
    <row r="19" spans="19:30" x14ac:dyDescent="0.2">
      <c r="S19" s="28" t="e">
        <f t="shared" si="1"/>
        <v>#DIV/0!</v>
      </c>
      <c r="T19" s="28" t="e">
        <f t="shared" si="2"/>
        <v>#DIV/0!</v>
      </c>
      <c r="U19" s="28" t="e">
        <f t="shared" si="3"/>
        <v>#DIV/0!</v>
      </c>
      <c r="V19" s="28" t="e">
        <f t="shared" si="4"/>
        <v>#DIV/0!</v>
      </c>
      <c r="W19" s="28" t="e">
        <f t="shared" si="5"/>
        <v>#DIV/0!</v>
      </c>
      <c r="X19" s="28" t="e">
        <f t="shared" si="6"/>
        <v>#DIV/0!</v>
      </c>
      <c r="Y19" s="28" t="e">
        <f t="shared" si="7"/>
        <v>#DIV/0!</v>
      </c>
      <c r="Z19" s="28" t="e">
        <f t="shared" si="8"/>
        <v>#DIV/0!</v>
      </c>
      <c r="AA19" s="28" t="e">
        <f t="shared" si="9"/>
        <v>#DIV/0!</v>
      </c>
      <c r="AB19" s="28" t="e">
        <f t="shared" si="10"/>
        <v>#DIV/0!</v>
      </c>
      <c r="AC19" s="28" t="e">
        <f t="shared" si="11"/>
        <v>#DIV/0!</v>
      </c>
      <c r="AD19" s="28" t="e">
        <f t="shared" si="12"/>
        <v>#DIV/0!</v>
      </c>
    </row>
    <row r="20" spans="19:30" x14ac:dyDescent="0.2">
      <c r="S20" s="28" t="e">
        <f t="shared" si="1"/>
        <v>#DIV/0!</v>
      </c>
      <c r="T20" s="28" t="e">
        <f t="shared" si="2"/>
        <v>#DIV/0!</v>
      </c>
      <c r="U20" s="28" t="e">
        <f t="shared" si="3"/>
        <v>#DIV/0!</v>
      </c>
      <c r="V20" s="28" t="e">
        <f t="shared" si="4"/>
        <v>#DIV/0!</v>
      </c>
      <c r="W20" s="28" t="e">
        <f t="shared" si="5"/>
        <v>#DIV/0!</v>
      </c>
      <c r="X20" s="28" t="e">
        <f t="shared" si="6"/>
        <v>#DIV/0!</v>
      </c>
      <c r="Y20" s="28" t="e">
        <f t="shared" si="7"/>
        <v>#DIV/0!</v>
      </c>
      <c r="Z20" s="28" t="e">
        <f t="shared" si="8"/>
        <v>#DIV/0!</v>
      </c>
      <c r="AA20" s="28" t="e">
        <f t="shared" si="9"/>
        <v>#DIV/0!</v>
      </c>
      <c r="AB20" s="28" t="e">
        <f t="shared" si="10"/>
        <v>#DIV/0!</v>
      </c>
      <c r="AC20" s="28" t="e">
        <f t="shared" si="11"/>
        <v>#DIV/0!</v>
      </c>
      <c r="AD20" s="28" t="e">
        <f t="shared" si="12"/>
        <v>#DIV/0!</v>
      </c>
    </row>
    <row r="21" spans="19:30" x14ac:dyDescent="0.2">
      <c r="S21" s="28" t="e">
        <f t="shared" si="1"/>
        <v>#DIV/0!</v>
      </c>
      <c r="T21" s="28" t="e">
        <f t="shared" si="2"/>
        <v>#DIV/0!</v>
      </c>
      <c r="U21" s="28" t="e">
        <f t="shared" si="3"/>
        <v>#DIV/0!</v>
      </c>
      <c r="V21" s="28" t="e">
        <f t="shared" si="4"/>
        <v>#DIV/0!</v>
      </c>
      <c r="W21" s="28" t="e">
        <f t="shared" si="5"/>
        <v>#DIV/0!</v>
      </c>
      <c r="X21" s="28" t="e">
        <f t="shared" si="6"/>
        <v>#DIV/0!</v>
      </c>
      <c r="Y21" s="28" t="e">
        <f t="shared" si="7"/>
        <v>#DIV/0!</v>
      </c>
      <c r="Z21" s="28" t="e">
        <f t="shared" si="8"/>
        <v>#DIV/0!</v>
      </c>
      <c r="AA21" s="28" t="e">
        <f t="shared" si="9"/>
        <v>#DIV/0!</v>
      </c>
      <c r="AB21" s="28" t="e">
        <f t="shared" si="10"/>
        <v>#DIV/0!</v>
      </c>
      <c r="AC21" s="28" t="e">
        <f t="shared" si="11"/>
        <v>#DIV/0!</v>
      </c>
      <c r="AD21" s="28" t="e">
        <f t="shared" si="12"/>
        <v>#DIV/0!</v>
      </c>
    </row>
    <row r="22" spans="19:30" x14ac:dyDescent="0.2">
      <c r="S22" s="28" t="e">
        <f t="shared" si="1"/>
        <v>#DIV/0!</v>
      </c>
      <c r="T22" s="28" t="e">
        <f t="shared" si="2"/>
        <v>#DIV/0!</v>
      </c>
      <c r="U22" s="28" t="e">
        <f t="shared" si="3"/>
        <v>#DIV/0!</v>
      </c>
      <c r="V22" s="28" t="e">
        <f t="shared" si="4"/>
        <v>#DIV/0!</v>
      </c>
      <c r="W22" s="28" t="e">
        <f t="shared" si="5"/>
        <v>#DIV/0!</v>
      </c>
      <c r="X22" s="28" t="e">
        <f t="shared" si="6"/>
        <v>#DIV/0!</v>
      </c>
      <c r="Y22" s="28" t="e">
        <f t="shared" si="7"/>
        <v>#DIV/0!</v>
      </c>
      <c r="Z22" s="28" t="e">
        <f t="shared" si="8"/>
        <v>#DIV/0!</v>
      </c>
      <c r="AA22" s="28" t="e">
        <f t="shared" si="9"/>
        <v>#DIV/0!</v>
      </c>
      <c r="AB22" s="28" t="e">
        <f t="shared" si="10"/>
        <v>#DIV/0!</v>
      </c>
      <c r="AC22" s="28" t="e">
        <f t="shared" si="11"/>
        <v>#DIV/0!</v>
      </c>
      <c r="AD22" s="28" t="e">
        <f t="shared" si="12"/>
        <v>#DIV/0!</v>
      </c>
    </row>
    <row r="23" spans="19:30" x14ac:dyDescent="0.2">
      <c r="S23" s="28" t="e">
        <f t="shared" si="1"/>
        <v>#DIV/0!</v>
      </c>
      <c r="T23" s="28" t="e">
        <f t="shared" si="2"/>
        <v>#DIV/0!</v>
      </c>
      <c r="U23" s="28" t="e">
        <f t="shared" si="3"/>
        <v>#DIV/0!</v>
      </c>
      <c r="V23" s="28" t="e">
        <f t="shared" si="4"/>
        <v>#DIV/0!</v>
      </c>
      <c r="W23" s="28" t="e">
        <f t="shared" si="5"/>
        <v>#DIV/0!</v>
      </c>
      <c r="X23" s="28" t="e">
        <f t="shared" si="6"/>
        <v>#DIV/0!</v>
      </c>
      <c r="Y23" s="28" t="e">
        <f t="shared" si="7"/>
        <v>#DIV/0!</v>
      </c>
      <c r="Z23" s="28" t="e">
        <f t="shared" si="8"/>
        <v>#DIV/0!</v>
      </c>
      <c r="AA23" s="28" t="e">
        <f t="shared" si="9"/>
        <v>#DIV/0!</v>
      </c>
      <c r="AB23" s="28" t="e">
        <f t="shared" si="10"/>
        <v>#DIV/0!</v>
      </c>
      <c r="AC23" s="28" t="e">
        <f t="shared" si="11"/>
        <v>#DIV/0!</v>
      </c>
      <c r="AD23" s="28" t="e">
        <f t="shared" si="12"/>
        <v>#DIV/0!</v>
      </c>
    </row>
    <row r="24" spans="19:30" x14ac:dyDescent="0.2">
      <c r="S24" s="28" t="e">
        <f t="shared" si="1"/>
        <v>#DIV/0!</v>
      </c>
      <c r="T24" s="28" t="e">
        <f t="shared" si="2"/>
        <v>#DIV/0!</v>
      </c>
      <c r="U24" s="28" t="e">
        <f t="shared" si="3"/>
        <v>#DIV/0!</v>
      </c>
      <c r="V24" s="28" t="e">
        <f t="shared" si="4"/>
        <v>#DIV/0!</v>
      </c>
      <c r="W24" s="28" t="e">
        <f t="shared" si="5"/>
        <v>#DIV/0!</v>
      </c>
      <c r="X24" s="28" t="e">
        <f t="shared" si="6"/>
        <v>#DIV/0!</v>
      </c>
      <c r="Y24" s="28" t="e">
        <f t="shared" si="7"/>
        <v>#DIV/0!</v>
      </c>
      <c r="Z24" s="28" t="e">
        <f t="shared" si="8"/>
        <v>#DIV/0!</v>
      </c>
      <c r="AA24" s="28" t="e">
        <f t="shared" si="9"/>
        <v>#DIV/0!</v>
      </c>
      <c r="AB24" s="28" t="e">
        <f t="shared" si="10"/>
        <v>#DIV/0!</v>
      </c>
      <c r="AC24" s="28" t="e">
        <f t="shared" si="11"/>
        <v>#DIV/0!</v>
      </c>
      <c r="AD24" s="28" t="e">
        <f t="shared" si="12"/>
        <v>#DIV/0!</v>
      </c>
    </row>
    <row r="25" spans="19:30" x14ac:dyDescent="0.2">
      <c r="S25" s="28" t="e">
        <f t="shared" si="1"/>
        <v>#DIV/0!</v>
      </c>
      <c r="T25" s="28" t="e">
        <f t="shared" si="2"/>
        <v>#DIV/0!</v>
      </c>
      <c r="U25" s="28" t="e">
        <f t="shared" si="3"/>
        <v>#DIV/0!</v>
      </c>
      <c r="V25" s="28" t="e">
        <f t="shared" si="4"/>
        <v>#DIV/0!</v>
      </c>
      <c r="W25" s="28" t="e">
        <f t="shared" si="5"/>
        <v>#DIV/0!</v>
      </c>
      <c r="X25" s="28" t="e">
        <f t="shared" si="6"/>
        <v>#DIV/0!</v>
      </c>
      <c r="Y25" s="28" t="e">
        <f t="shared" si="7"/>
        <v>#DIV/0!</v>
      </c>
      <c r="Z25" s="28" t="e">
        <f t="shared" si="8"/>
        <v>#DIV/0!</v>
      </c>
      <c r="AA25" s="28" t="e">
        <f t="shared" si="9"/>
        <v>#DIV/0!</v>
      </c>
      <c r="AB25" s="28" t="e">
        <f t="shared" si="10"/>
        <v>#DIV/0!</v>
      </c>
      <c r="AC25" s="28" t="e">
        <f t="shared" si="11"/>
        <v>#DIV/0!</v>
      </c>
      <c r="AD25" s="28" t="e">
        <f t="shared" si="12"/>
        <v>#DIV/0!</v>
      </c>
    </row>
    <row r="26" spans="19:30" x14ac:dyDescent="0.2">
      <c r="S26" s="28" t="e">
        <f t="shared" si="1"/>
        <v>#DIV/0!</v>
      </c>
      <c r="T26" s="28" t="e">
        <f t="shared" si="2"/>
        <v>#DIV/0!</v>
      </c>
      <c r="U26" s="28" t="e">
        <f t="shared" si="3"/>
        <v>#DIV/0!</v>
      </c>
      <c r="V26" s="28" t="e">
        <f t="shared" si="4"/>
        <v>#DIV/0!</v>
      </c>
      <c r="W26" s="28" t="e">
        <f t="shared" si="5"/>
        <v>#DIV/0!</v>
      </c>
      <c r="X26" s="28" t="e">
        <f t="shared" si="6"/>
        <v>#DIV/0!</v>
      </c>
      <c r="Y26" s="28" t="e">
        <f t="shared" si="7"/>
        <v>#DIV/0!</v>
      </c>
      <c r="Z26" s="28" t="e">
        <f t="shared" si="8"/>
        <v>#DIV/0!</v>
      </c>
      <c r="AA26" s="28" t="e">
        <f t="shared" si="9"/>
        <v>#DIV/0!</v>
      </c>
      <c r="AB26" s="28" t="e">
        <f t="shared" si="10"/>
        <v>#DIV/0!</v>
      </c>
      <c r="AC26" s="28" t="e">
        <f t="shared" si="11"/>
        <v>#DIV/0!</v>
      </c>
      <c r="AD26" s="28" t="e">
        <f t="shared" si="12"/>
        <v>#DIV/0!</v>
      </c>
    </row>
    <row r="27" spans="19:30" x14ac:dyDescent="0.2">
      <c r="S27" s="28" t="e">
        <f t="shared" si="1"/>
        <v>#DIV/0!</v>
      </c>
      <c r="T27" s="28" t="e">
        <f t="shared" si="2"/>
        <v>#DIV/0!</v>
      </c>
      <c r="U27" s="28" t="e">
        <f t="shared" si="3"/>
        <v>#DIV/0!</v>
      </c>
      <c r="V27" s="28" t="e">
        <f t="shared" si="4"/>
        <v>#DIV/0!</v>
      </c>
      <c r="W27" s="28" t="e">
        <f t="shared" si="5"/>
        <v>#DIV/0!</v>
      </c>
      <c r="X27" s="28" t="e">
        <f t="shared" si="6"/>
        <v>#DIV/0!</v>
      </c>
      <c r="Y27" s="28" t="e">
        <f t="shared" si="7"/>
        <v>#DIV/0!</v>
      </c>
      <c r="Z27" s="28" t="e">
        <f t="shared" si="8"/>
        <v>#DIV/0!</v>
      </c>
      <c r="AA27" s="28" t="e">
        <f t="shared" si="9"/>
        <v>#DIV/0!</v>
      </c>
      <c r="AB27" s="28" t="e">
        <f t="shared" si="10"/>
        <v>#DIV/0!</v>
      </c>
      <c r="AC27" s="28" t="e">
        <f t="shared" si="11"/>
        <v>#DIV/0!</v>
      </c>
      <c r="AD27" s="28" t="e">
        <f t="shared" si="12"/>
        <v>#DIV/0!</v>
      </c>
    </row>
    <row r="28" spans="19:30" x14ac:dyDescent="0.2">
      <c r="S28" s="28" t="e">
        <f t="shared" si="1"/>
        <v>#DIV/0!</v>
      </c>
      <c r="T28" s="28" t="e">
        <f t="shared" si="2"/>
        <v>#DIV/0!</v>
      </c>
      <c r="U28" s="28" t="e">
        <f t="shared" si="3"/>
        <v>#DIV/0!</v>
      </c>
      <c r="V28" s="28" t="e">
        <f t="shared" si="4"/>
        <v>#DIV/0!</v>
      </c>
      <c r="W28" s="28" t="e">
        <f t="shared" si="5"/>
        <v>#DIV/0!</v>
      </c>
      <c r="X28" s="28" t="e">
        <f t="shared" si="6"/>
        <v>#DIV/0!</v>
      </c>
      <c r="Y28" s="28" t="e">
        <f t="shared" si="7"/>
        <v>#DIV/0!</v>
      </c>
      <c r="Z28" s="28" t="e">
        <f t="shared" si="8"/>
        <v>#DIV/0!</v>
      </c>
      <c r="AA28" s="28" t="e">
        <f t="shared" si="9"/>
        <v>#DIV/0!</v>
      </c>
      <c r="AB28" s="28" t="e">
        <f t="shared" si="10"/>
        <v>#DIV/0!</v>
      </c>
      <c r="AC28" s="28" t="e">
        <f t="shared" si="11"/>
        <v>#DIV/0!</v>
      </c>
      <c r="AD28" s="28" t="e">
        <f t="shared" si="12"/>
        <v>#DIV/0!</v>
      </c>
    </row>
    <row r="29" spans="19:30" x14ac:dyDescent="0.2">
      <c r="S29" s="28" t="e">
        <f t="shared" si="1"/>
        <v>#DIV/0!</v>
      </c>
      <c r="T29" s="28" t="e">
        <f t="shared" si="2"/>
        <v>#DIV/0!</v>
      </c>
      <c r="U29" s="28" t="e">
        <f t="shared" si="3"/>
        <v>#DIV/0!</v>
      </c>
      <c r="V29" s="28" t="e">
        <f t="shared" si="4"/>
        <v>#DIV/0!</v>
      </c>
      <c r="W29" s="28" t="e">
        <f t="shared" si="5"/>
        <v>#DIV/0!</v>
      </c>
      <c r="X29" s="28" t="e">
        <f t="shared" si="6"/>
        <v>#DIV/0!</v>
      </c>
      <c r="Y29" s="28" t="e">
        <f t="shared" si="7"/>
        <v>#DIV/0!</v>
      </c>
      <c r="Z29" s="28" t="e">
        <f t="shared" si="8"/>
        <v>#DIV/0!</v>
      </c>
      <c r="AA29" s="28" t="e">
        <f t="shared" si="9"/>
        <v>#DIV/0!</v>
      </c>
      <c r="AB29" s="28" t="e">
        <f t="shared" si="10"/>
        <v>#DIV/0!</v>
      </c>
      <c r="AC29" s="28" t="e">
        <f t="shared" si="11"/>
        <v>#DIV/0!</v>
      </c>
      <c r="AD29" s="28" t="e">
        <f t="shared" si="12"/>
        <v>#DIV/0!</v>
      </c>
    </row>
    <row r="30" spans="19:30" x14ac:dyDescent="0.2">
      <c r="S30" s="28" t="e">
        <f t="shared" si="1"/>
        <v>#DIV/0!</v>
      </c>
      <c r="T30" s="28" t="e">
        <f t="shared" si="2"/>
        <v>#DIV/0!</v>
      </c>
      <c r="U30" s="28" t="e">
        <f t="shared" si="3"/>
        <v>#DIV/0!</v>
      </c>
      <c r="V30" s="28" t="e">
        <f t="shared" si="4"/>
        <v>#DIV/0!</v>
      </c>
      <c r="W30" s="28" t="e">
        <f t="shared" si="5"/>
        <v>#DIV/0!</v>
      </c>
      <c r="X30" s="28" t="e">
        <f t="shared" si="6"/>
        <v>#DIV/0!</v>
      </c>
      <c r="Y30" s="28" t="e">
        <f t="shared" si="7"/>
        <v>#DIV/0!</v>
      </c>
      <c r="Z30" s="28" t="e">
        <f t="shared" si="8"/>
        <v>#DIV/0!</v>
      </c>
      <c r="AA30" s="28" t="e">
        <f t="shared" si="9"/>
        <v>#DIV/0!</v>
      </c>
      <c r="AB30" s="28" t="e">
        <f t="shared" si="10"/>
        <v>#DIV/0!</v>
      </c>
      <c r="AC30" s="28" t="e">
        <f t="shared" si="11"/>
        <v>#DIV/0!</v>
      </c>
      <c r="AD30" s="28" t="e">
        <f t="shared" si="12"/>
        <v>#DIV/0!</v>
      </c>
    </row>
    <row r="31" spans="19:30" x14ac:dyDescent="0.2">
      <c r="S31" s="28" t="e">
        <f t="shared" si="1"/>
        <v>#DIV/0!</v>
      </c>
      <c r="T31" s="28" t="e">
        <f t="shared" si="2"/>
        <v>#DIV/0!</v>
      </c>
      <c r="U31" s="28" t="e">
        <f t="shared" si="3"/>
        <v>#DIV/0!</v>
      </c>
      <c r="V31" s="28" t="e">
        <f t="shared" si="4"/>
        <v>#DIV/0!</v>
      </c>
      <c r="W31" s="28" t="e">
        <f t="shared" si="5"/>
        <v>#DIV/0!</v>
      </c>
      <c r="X31" s="28" t="e">
        <f t="shared" si="6"/>
        <v>#DIV/0!</v>
      </c>
      <c r="Y31" s="28" t="e">
        <f t="shared" si="7"/>
        <v>#DIV/0!</v>
      </c>
      <c r="Z31" s="28" t="e">
        <f t="shared" si="8"/>
        <v>#DIV/0!</v>
      </c>
      <c r="AA31" s="28" t="e">
        <f t="shared" si="9"/>
        <v>#DIV/0!</v>
      </c>
      <c r="AB31" s="28" t="e">
        <f t="shared" si="10"/>
        <v>#DIV/0!</v>
      </c>
      <c r="AC31" s="28" t="e">
        <f t="shared" si="11"/>
        <v>#DIV/0!</v>
      </c>
      <c r="AD31" s="28" t="e">
        <f t="shared" si="12"/>
        <v>#DIV/0!</v>
      </c>
    </row>
    <row r="32" spans="19:30" x14ac:dyDescent="0.2">
      <c r="S32" s="28" t="e">
        <f t="shared" si="1"/>
        <v>#DIV/0!</v>
      </c>
      <c r="T32" s="28" t="e">
        <f t="shared" si="2"/>
        <v>#DIV/0!</v>
      </c>
      <c r="U32" s="28" t="e">
        <f t="shared" si="3"/>
        <v>#DIV/0!</v>
      </c>
      <c r="V32" s="28" t="e">
        <f t="shared" si="4"/>
        <v>#DIV/0!</v>
      </c>
      <c r="W32" s="28" t="e">
        <f t="shared" si="5"/>
        <v>#DIV/0!</v>
      </c>
      <c r="X32" s="28" t="e">
        <f t="shared" si="6"/>
        <v>#DIV/0!</v>
      </c>
      <c r="Y32" s="28" t="e">
        <f t="shared" si="7"/>
        <v>#DIV/0!</v>
      </c>
      <c r="Z32" s="28" t="e">
        <f t="shared" si="8"/>
        <v>#DIV/0!</v>
      </c>
      <c r="AA32" s="28" t="e">
        <f t="shared" si="9"/>
        <v>#DIV/0!</v>
      </c>
      <c r="AB32" s="28" t="e">
        <f t="shared" si="10"/>
        <v>#DIV/0!</v>
      </c>
      <c r="AC32" s="28" t="e">
        <f t="shared" si="11"/>
        <v>#DIV/0!</v>
      </c>
      <c r="AD32" s="28" t="e">
        <f t="shared" si="12"/>
        <v>#DIV/0!</v>
      </c>
    </row>
    <row r="33" spans="19:30" x14ac:dyDescent="0.2">
      <c r="S33" s="28" t="e">
        <f t="shared" si="1"/>
        <v>#DIV/0!</v>
      </c>
      <c r="T33" s="28" t="e">
        <f t="shared" si="2"/>
        <v>#DIV/0!</v>
      </c>
      <c r="U33" s="28" t="e">
        <f t="shared" si="3"/>
        <v>#DIV/0!</v>
      </c>
      <c r="V33" s="28" t="e">
        <f t="shared" si="4"/>
        <v>#DIV/0!</v>
      </c>
      <c r="W33" s="28" t="e">
        <f t="shared" si="5"/>
        <v>#DIV/0!</v>
      </c>
      <c r="X33" s="28" t="e">
        <f t="shared" si="6"/>
        <v>#DIV/0!</v>
      </c>
      <c r="Y33" s="28" t="e">
        <f t="shared" si="7"/>
        <v>#DIV/0!</v>
      </c>
      <c r="Z33" s="28" t="e">
        <f t="shared" si="8"/>
        <v>#DIV/0!</v>
      </c>
      <c r="AA33" s="28" t="e">
        <f t="shared" si="9"/>
        <v>#DIV/0!</v>
      </c>
      <c r="AB33" s="28" t="e">
        <f t="shared" si="10"/>
        <v>#DIV/0!</v>
      </c>
      <c r="AC33" s="28" t="e">
        <f t="shared" si="11"/>
        <v>#DIV/0!</v>
      </c>
      <c r="AD33" s="28" t="e">
        <f t="shared" si="12"/>
        <v>#DIV/0!</v>
      </c>
    </row>
    <row r="34" spans="19:30" x14ac:dyDescent="0.2">
      <c r="S34" s="28" t="e">
        <f t="shared" si="1"/>
        <v>#DIV/0!</v>
      </c>
      <c r="T34" s="28" t="e">
        <f t="shared" si="2"/>
        <v>#DIV/0!</v>
      </c>
      <c r="U34" s="28" t="e">
        <f t="shared" si="3"/>
        <v>#DIV/0!</v>
      </c>
      <c r="V34" s="28" t="e">
        <f t="shared" si="4"/>
        <v>#DIV/0!</v>
      </c>
      <c r="W34" s="28" t="e">
        <f t="shared" si="5"/>
        <v>#DIV/0!</v>
      </c>
      <c r="X34" s="28" t="e">
        <f t="shared" si="6"/>
        <v>#DIV/0!</v>
      </c>
      <c r="Y34" s="28" t="e">
        <f t="shared" si="7"/>
        <v>#DIV/0!</v>
      </c>
      <c r="Z34" s="28" t="e">
        <f t="shared" si="8"/>
        <v>#DIV/0!</v>
      </c>
      <c r="AA34" s="28" t="e">
        <f t="shared" si="9"/>
        <v>#DIV/0!</v>
      </c>
      <c r="AB34" s="28" t="e">
        <f t="shared" si="10"/>
        <v>#DIV/0!</v>
      </c>
      <c r="AC34" s="28" t="e">
        <f t="shared" si="11"/>
        <v>#DIV/0!</v>
      </c>
      <c r="AD34" s="28" t="e">
        <f t="shared" si="12"/>
        <v>#DIV/0!</v>
      </c>
    </row>
    <row r="35" spans="19:30" x14ac:dyDescent="0.2">
      <c r="S35" s="28" t="e">
        <f t="shared" si="1"/>
        <v>#DIV/0!</v>
      </c>
      <c r="T35" s="28" t="e">
        <f t="shared" si="2"/>
        <v>#DIV/0!</v>
      </c>
      <c r="U35" s="28" t="e">
        <f t="shared" si="3"/>
        <v>#DIV/0!</v>
      </c>
      <c r="V35" s="28" t="e">
        <f t="shared" si="4"/>
        <v>#DIV/0!</v>
      </c>
      <c r="W35" s="28" t="e">
        <f t="shared" si="5"/>
        <v>#DIV/0!</v>
      </c>
      <c r="X35" s="28" t="e">
        <f t="shared" si="6"/>
        <v>#DIV/0!</v>
      </c>
      <c r="Y35" s="28" t="e">
        <f t="shared" si="7"/>
        <v>#DIV/0!</v>
      </c>
      <c r="Z35" s="28" t="e">
        <f t="shared" si="8"/>
        <v>#DIV/0!</v>
      </c>
      <c r="AA35" s="28" t="e">
        <f t="shared" si="9"/>
        <v>#DIV/0!</v>
      </c>
      <c r="AB35" s="28" t="e">
        <f t="shared" si="10"/>
        <v>#DIV/0!</v>
      </c>
      <c r="AC35" s="28" t="e">
        <f t="shared" si="11"/>
        <v>#DIV/0!</v>
      </c>
      <c r="AD35" s="28" t="e">
        <f t="shared" si="12"/>
        <v>#DIV/0!</v>
      </c>
    </row>
    <row r="36" spans="19:30" x14ac:dyDescent="0.2">
      <c r="S36" s="28" t="e">
        <f t="shared" si="1"/>
        <v>#DIV/0!</v>
      </c>
      <c r="T36" s="28" t="e">
        <f t="shared" si="2"/>
        <v>#DIV/0!</v>
      </c>
      <c r="U36" s="28" t="e">
        <f t="shared" si="3"/>
        <v>#DIV/0!</v>
      </c>
      <c r="V36" s="28" t="e">
        <f t="shared" si="4"/>
        <v>#DIV/0!</v>
      </c>
      <c r="W36" s="28" t="e">
        <f t="shared" si="5"/>
        <v>#DIV/0!</v>
      </c>
      <c r="X36" s="28" t="e">
        <f t="shared" si="6"/>
        <v>#DIV/0!</v>
      </c>
      <c r="Y36" s="28" t="e">
        <f t="shared" si="7"/>
        <v>#DIV/0!</v>
      </c>
      <c r="Z36" s="28" t="e">
        <f t="shared" si="8"/>
        <v>#DIV/0!</v>
      </c>
      <c r="AA36" s="28" t="e">
        <f t="shared" si="9"/>
        <v>#DIV/0!</v>
      </c>
      <c r="AB36" s="28" t="e">
        <f t="shared" si="10"/>
        <v>#DIV/0!</v>
      </c>
      <c r="AC36" s="28" t="e">
        <f t="shared" si="11"/>
        <v>#DIV/0!</v>
      </c>
      <c r="AD36" s="28" t="e">
        <f t="shared" si="12"/>
        <v>#DIV/0!</v>
      </c>
    </row>
    <row r="37" spans="19:30" x14ac:dyDescent="0.2">
      <c r="S37" s="28" t="e">
        <f t="shared" si="1"/>
        <v>#DIV/0!</v>
      </c>
      <c r="T37" s="28" t="e">
        <f t="shared" si="2"/>
        <v>#DIV/0!</v>
      </c>
      <c r="U37" s="28" t="e">
        <f t="shared" si="3"/>
        <v>#DIV/0!</v>
      </c>
      <c r="V37" s="28" t="e">
        <f t="shared" si="4"/>
        <v>#DIV/0!</v>
      </c>
      <c r="W37" s="28" t="e">
        <f t="shared" si="5"/>
        <v>#DIV/0!</v>
      </c>
      <c r="X37" s="28" t="e">
        <f t="shared" si="6"/>
        <v>#DIV/0!</v>
      </c>
      <c r="Y37" s="28" t="e">
        <f t="shared" si="7"/>
        <v>#DIV/0!</v>
      </c>
      <c r="Z37" s="28" t="e">
        <f t="shared" si="8"/>
        <v>#DIV/0!</v>
      </c>
      <c r="AA37" s="28" t="e">
        <f t="shared" si="9"/>
        <v>#DIV/0!</v>
      </c>
      <c r="AB37" s="28" t="e">
        <f t="shared" si="10"/>
        <v>#DIV/0!</v>
      </c>
      <c r="AC37" s="28" t="e">
        <f t="shared" si="11"/>
        <v>#DIV/0!</v>
      </c>
      <c r="AD37" s="28" t="e">
        <f t="shared" si="12"/>
        <v>#DIV/0!</v>
      </c>
    </row>
    <row r="38" spans="19:30" x14ac:dyDescent="0.2">
      <c r="S38" s="28" t="e">
        <f t="shared" si="1"/>
        <v>#DIV/0!</v>
      </c>
      <c r="T38" s="28" t="e">
        <f t="shared" si="2"/>
        <v>#DIV/0!</v>
      </c>
      <c r="U38" s="28" t="e">
        <f t="shared" si="3"/>
        <v>#DIV/0!</v>
      </c>
      <c r="V38" s="28" t="e">
        <f t="shared" si="4"/>
        <v>#DIV/0!</v>
      </c>
      <c r="W38" s="28" t="e">
        <f t="shared" si="5"/>
        <v>#DIV/0!</v>
      </c>
      <c r="X38" s="28" t="e">
        <f t="shared" si="6"/>
        <v>#DIV/0!</v>
      </c>
      <c r="Y38" s="28" t="e">
        <f t="shared" si="7"/>
        <v>#DIV/0!</v>
      </c>
      <c r="Z38" s="28" t="e">
        <f t="shared" si="8"/>
        <v>#DIV/0!</v>
      </c>
      <c r="AA38" s="28" t="e">
        <f t="shared" si="9"/>
        <v>#DIV/0!</v>
      </c>
      <c r="AB38" s="28" t="e">
        <f t="shared" si="10"/>
        <v>#DIV/0!</v>
      </c>
      <c r="AC38" s="28" t="e">
        <f t="shared" si="11"/>
        <v>#DIV/0!</v>
      </c>
      <c r="AD38" s="28" t="e">
        <f t="shared" si="12"/>
        <v>#DIV/0!</v>
      </c>
    </row>
    <row r="39" spans="19:30" x14ac:dyDescent="0.2">
      <c r="S39" s="28" t="e">
        <f t="shared" si="1"/>
        <v>#DIV/0!</v>
      </c>
      <c r="T39" s="28" t="e">
        <f t="shared" si="2"/>
        <v>#DIV/0!</v>
      </c>
      <c r="U39" s="28" t="e">
        <f t="shared" si="3"/>
        <v>#DIV/0!</v>
      </c>
      <c r="V39" s="28" t="e">
        <f t="shared" si="4"/>
        <v>#DIV/0!</v>
      </c>
      <c r="W39" s="28" t="e">
        <f t="shared" si="5"/>
        <v>#DIV/0!</v>
      </c>
      <c r="X39" s="28" t="e">
        <f t="shared" si="6"/>
        <v>#DIV/0!</v>
      </c>
      <c r="Y39" s="28" t="e">
        <f t="shared" si="7"/>
        <v>#DIV/0!</v>
      </c>
      <c r="Z39" s="28" t="e">
        <f t="shared" si="8"/>
        <v>#DIV/0!</v>
      </c>
      <c r="AA39" s="28" t="e">
        <f t="shared" si="9"/>
        <v>#DIV/0!</v>
      </c>
      <c r="AB39" s="28" t="e">
        <f t="shared" si="10"/>
        <v>#DIV/0!</v>
      </c>
      <c r="AC39" s="28" t="e">
        <f t="shared" si="11"/>
        <v>#DIV/0!</v>
      </c>
      <c r="AD39" s="28" t="e">
        <f t="shared" si="12"/>
        <v>#DIV/0!</v>
      </c>
    </row>
    <row r="40" spans="19:30" x14ac:dyDescent="0.2">
      <c r="S40" s="28" t="e">
        <f t="shared" si="1"/>
        <v>#DIV/0!</v>
      </c>
      <c r="T40" s="28" t="e">
        <f t="shared" si="2"/>
        <v>#DIV/0!</v>
      </c>
      <c r="U40" s="28" t="e">
        <f t="shared" si="3"/>
        <v>#DIV/0!</v>
      </c>
      <c r="V40" s="28" t="e">
        <f t="shared" si="4"/>
        <v>#DIV/0!</v>
      </c>
      <c r="W40" s="28" t="e">
        <f t="shared" si="5"/>
        <v>#DIV/0!</v>
      </c>
      <c r="X40" s="28" t="e">
        <f t="shared" si="6"/>
        <v>#DIV/0!</v>
      </c>
      <c r="Y40" s="28" t="e">
        <f t="shared" si="7"/>
        <v>#DIV/0!</v>
      </c>
      <c r="Z40" s="28" t="e">
        <f t="shared" si="8"/>
        <v>#DIV/0!</v>
      </c>
      <c r="AA40" s="28" t="e">
        <f t="shared" si="9"/>
        <v>#DIV/0!</v>
      </c>
      <c r="AB40" s="28" t="e">
        <f t="shared" si="10"/>
        <v>#DIV/0!</v>
      </c>
      <c r="AC40" s="28" t="e">
        <f t="shared" si="11"/>
        <v>#DIV/0!</v>
      </c>
      <c r="AD40" s="28" t="e">
        <f t="shared" si="12"/>
        <v>#DIV/0!</v>
      </c>
    </row>
    <row r="41" spans="19:30" x14ac:dyDescent="0.2">
      <c r="S41" s="28" t="e">
        <f t="shared" si="1"/>
        <v>#DIV/0!</v>
      </c>
      <c r="T41" s="28" t="e">
        <f t="shared" si="2"/>
        <v>#DIV/0!</v>
      </c>
      <c r="U41" s="28" t="e">
        <f t="shared" si="3"/>
        <v>#DIV/0!</v>
      </c>
      <c r="V41" s="28" t="e">
        <f t="shared" si="4"/>
        <v>#DIV/0!</v>
      </c>
      <c r="W41" s="28" t="e">
        <f t="shared" si="5"/>
        <v>#DIV/0!</v>
      </c>
      <c r="X41" s="28" t="e">
        <f t="shared" si="6"/>
        <v>#DIV/0!</v>
      </c>
      <c r="Y41" s="28" t="e">
        <f t="shared" si="7"/>
        <v>#DIV/0!</v>
      </c>
      <c r="Z41" s="28" t="e">
        <f t="shared" si="8"/>
        <v>#DIV/0!</v>
      </c>
      <c r="AA41" s="28" t="e">
        <f t="shared" si="9"/>
        <v>#DIV/0!</v>
      </c>
      <c r="AB41" s="28" t="e">
        <f t="shared" si="10"/>
        <v>#DIV/0!</v>
      </c>
      <c r="AC41" s="28" t="e">
        <f t="shared" si="11"/>
        <v>#DIV/0!</v>
      </c>
      <c r="AD41" s="28" t="e">
        <f t="shared" si="12"/>
        <v>#DIV/0!</v>
      </c>
    </row>
  </sheetData>
  <mergeCells count="8">
    <mergeCell ref="C8:R8"/>
    <mergeCell ref="C9:R9"/>
    <mergeCell ref="B1:R1"/>
    <mergeCell ref="G2:R2"/>
    <mergeCell ref="S2:AD2"/>
    <mergeCell ref="C7:D7"/>
    <mergeCell ref="G7:L7"/>
    <mergeCell ref="M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2025-12-18T02:15:56Z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