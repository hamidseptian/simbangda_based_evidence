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 - Hamid Septian\Downloads\"/>
    </mc:Choice>
  </mc:AlternateContent>
  <bookViews>
    <workbookView xWindow="120" yWindow="15" windowWidth="18960" windowHeight="11325"/>
  </bookViews>
  <sheets>
    <sheet name="Table 1" sheetId="1" r:id="rId1"/>
    <sheet name="Table 2" sheetId="2" r:id="rId2"/>
  </sheets>
  <calcPr calcId="152511"/>
</workbook>
</file>

<file path=xl/calcChain.xml><?xml version="1.0" encoding="utf-8"?>
<calcChain xmlns="http://schemas.openxmlformats.org/spreadsheetml/2006/main">
  <c r="S7" i="1" l="1"/>
  <c r="T7" i="1"/>
  <c r="U7" i="1"/>
  <c r="V7" i="1"/>
  <c r="W7" i="1"/>
  <c r="X7" i="1"/>
  <c r="Y7" i="1"/>
  <c r="Z7" i="1"/>
  <c r="AA7" i="1"/>
  <c r="AB7" i="1"/>
  <c r="AC7" i="1"/>
  <c r="AD7" i="1"/>
  <c r="S8" i="1"/>
  <c r="T8" i="1"/>
  <c r="U8" i="1"/>
  <c r="V8" i="1"/>
  <c r="W8" i="1"/>
  <c r="X8" i="1"/>
  <c r="Y8" i="1"/>
  <c r="Z8" i="1"/>
  <c r="AA8" i="1"/>
  <c r="AB8" i="1"/>
  <c r="AC8" i="1"/>
  <c r="AD8" i="1"/>
  <c r="S9" i="1"/>
  <c r="T9" i="1"/>
  <c r="U9" i="1"/>
  <c r="V9" i="1"/>
  <c r="W9" i="1"/>
  <c r="X9" i="1"/>
  <c r="Y9" i="1"/>
  <c r="Z9" i="1"/>
  <c r="AA9" i="1"/>
  <c r="AB9" i="1"/>
  <c r="AC9" i="1"/>
  <c r="AD9" i="1"/>
  <c r="S10" i="1"/>
  <c r="T10" i="1"/>
  <c r="U10" i="1"/>
  <c r="V10" i="1"/>
  <c r="W10" i="1"/>
  <c r="X10" i="1"/>
  <c r="Y10" i="1"/>
  <c r="Z10" i="1"/>
  <c r="AA10" i="1"/>
  <c r="AB10" i="1"/>
  <c r="AC10" i="1"/>
  <c r="AD10" i="1"/>
  <c r="S11" i="1"/>
  <c r="T11" i="1"/>
  <c r="U11" i="1"/>
  <c r="V11" i="1"/>
  <c r="W11" i="1"/>
  <c r="X11" i="1"/>
  <c r="Y11" i="1"/>
  <c r="Z11" i="1"/>
  <c r="AA11" i="1"/>
  <c r="AB11" i="1"/>
  <c r="AC11" i="1"/>
  <c r="AD11" i="1"/>
  <c r="S12" i="1"/>
  <c r="T12" i="1"/>
  <c r="U12" i="1"/>
  <c r="V12" i="1"/>
  <c r="W12" i="1"/>
  <c r="X12" i="1"/>
  <c r="Y12" i="1"/>
  <c r="Z12" i="1"/>
  <c r="AA12" i="1"/>
  <c r="AB12" i="1"/>
  <c r="AC12" i="1"/>
  <c r="AD12" i="1"/>
  <c r="S13" i="1"/>
  <c r="T13" i="1"/>
  <c r="U13" i="1"/>
  <c r="V13" i="1"/>
  <c r="W13" i="1"/>
  <c r="X13" i="1"/>
  <c r="Y13" i="1"/>
  <c r="Z13" i="1"/>
  <c r="AA13" i="1"/>
  <c r="AB13" i="1"/>
  <c r="AC13" i="1"/>
  <c r="AD13" i="1"/>
  <c r="S14" i="1"/>
  <c r="T14" i="1"/>
  <c r="U14" i="1"/>
  <c r="V14" i="1"/>
  <c r="W14" i="1"/>
  <c r="X14" i="1"/>
  <c r="Y14" i="1"/>
  <c r="Z14" i="1"/>
  <c r="AA14" i="1"/>
  <c r="AB14" i="1"/>
  <c r="AC14" i="1"/>
  <c r="AD14" i="1"/>
  <c r="S15" i="1"/>
  <c r="T15" i="1"/>
  <c r="U15" i="1"/>
  <c r="V15" i="1"/>
  <c r="W15" i="1"/>
  <c r="X15" i="1"/>
  <c r="Y15" i="1"/>
  <c r="Z15" i="1"/>
  <c r="AA15" i="1"/>
  <c r="AB15" i="1"/>
  <c r="AC15" i="1"/>
  <c r="AD15" i="1"/>
  <c r="S16" i="1"/>
  <c r="T16" i="1"/>
  <c r="U16" i="1"/>
  <c r="V16" i="1"/>
  <c r="W16" i="1"/>
  <c r="X16" i="1"/>
  <c r="Y16" i="1"/>
  <c r="Z16" i="1"/>
  <c r="AA16" i="1"/>
  <c r="AB16" i="1"/>
  <c r="AC16" i="1"/>
  <c r="AD16" i="1"/>
  <c r="S17" i="1"/>
  <c r="T17" i="1"/>
  <c r="U17" i="1"/>
  <c r="V17" i="1"/>
  <c r="W17" i="1"/>
  <c r="X17" i="1"/>
  <c r="Y17" i="1"/>
  <c r="Z17" i="1"/>
  <c r="AA17" i="1"/>
  <c r="AB17" i="1"/>
  <c r="AC17" i="1"/>
  <c r="AD17" i="1"/>
  <c r="S18" i="1"/>
  <c r="T18" i="1"/>
  <c r="U18" i="1"/>
  <c r="V18" i="1"/>
  <c r="W18" i="1"/>
  <c r="X18" i="1"/>
  <c r="Y18" i="1"/>
  <c r="Z18" i="1"/>
  <c r="AA18" i="1"/>
  <c r="AB18" i="1"/>
  <c r="AC18" i="1"/>
  <c r="AD18" i="1"/>
  <c r="S19" i="1"/>
  <c r="T19" i="1"/>
  <c r="U19" i="1"/>
  <c r="V19" i="1"/>
  <c r="W19" i="1"/>
  <c r="X19" i="1"/>
  <c r="Y19" i="1"/>
  <c r="Z19" i="1"/>
  <c r="AA19" i="1"/>
  <c r="AB19" i="1"/>
  <c r="AC19" i="1"/>
  <c r="AD19" i="1"/>
  <c r="S20" i="1"/>
  <c r="T20" i="1"/>
  <c r="U20" i="1"/>
  <c r="V20" i="1"/>
  <c r="W20" i="1"/>
  <c r="X20" i="1"/>
  <c r="Y20" i="1"/>
  <c r="Z20" i="1"/>
  <c r="AA20" i="1"/>
  <c r="AB20" i="1"/>
  <c r="AC20" i="1"/>
  <c r="AD20" i="1"/>
  <c r="S21" i="1"/>
  <c r="T21" i="1"/>
  <c r="U21" i="1"/>
  <c r="V21" i="1"/>
  <c r="W21" i="1"/>
  <c r="X21" i="1"/>
  <c r="Y21" i="1"/>
  <c r="Z21" i="1"/>
  <c r="AA21" i="1"/>
  <c r="AB21" i="1"/>
  <c r="AC21" i="1"/>
  <c r="AD21" i="1"/>
  <c r="S22" i="1"/>
  <c r="T22" i="1"/>
  <c r="U22" i="1"/>
  <c r="V22" i="1"/>
  <c r="W22" i="1"/>
  <c r="X22" i="1"/>
  <c r="Y22" i="1"/>
  <c r="Z22" i="1"/>
  <c r="AA22" i="1"/>
  <c r="AB22" i="1"/>
  <c r="AC22" i="1"/>
  <c r="AD22" i="1"/>
  <c r="S23" i="1"/>
  <c r="T23" i="1"/>
  <c r="U23" i="1"/>
  <c r="V23" i="1"/>
  <c r="W23" i="1"/>
  <c r="X23" i="1"/>
  <c r="Y23" i="1"/>
  <c r="Z23" i="1"/>
  <c r="AA23" i="1"/>
  <c r="AB23" i="1"/>
  <c r="AC23" i="1"/>
  <c r="AD23" i="1"/>
  <c r="S24" i="1"/>
  <c r="T24" i="1"/>
  <c r="U24" i="1"/>
  <c r="V24" i="1"/>
  <c r="W24" i="1"/>
  <c r="X24" i="1"/>
  <c r="Y24" i="1"/>
  <c r="Z24" i="1"/>
  <c r="AA24" i="1"/>
  <c r="AB24" i="1"/>
  <c r="AC24" i="1"/>
  <c r="AD24" i="1"/>
  <c r="S25" i="1"/>
  <c r="T25" i="1"/>
  <c r="U25" i="1"/>
  <c r="V25" i="1"/>
  <c r="W25" i="1"/>
  <c r="X25" i="1"/>
  <c r="Y25" i="1"/>
  <c r="Z25" i="1"/>
  <c r="AA25" i="1"/>
  <c r="AB25" i="1"/>
  <c r="AC25" i="1"/>
  <c r="AD25" i="1"/>
  <c r="S26" i="1"/>
  <c r="T26" i="1"/>
  <c r="U26" i="1"/>
  <c r="V26" i="1"/>
  <c r="W26" i="1"/>
  <c r="X26" i="1"/>
  <c r="Y26" i="1"/>
  <c r="Z26" i="1"/>
  <c r="AA26" i="1"/>
  <c r="AB26" i="1"/>
  <c r="AC26" i="1"/>
  <c r="AD26" i="1"/>
  <c r="S27" i="1"/>
  <c r="T27" i="1"/>
  <c r="U27" i="1"/>
  <c r="V27" i="1"/>
  <c r="W27" i="1"/>
  <c r="X27" i="1"/>
  <c r="Y27" i="1"/>
  <c r="Z27" i="1"/>
  <c r="AA27" i="1"/>
  <c r="AB27" i="1"/>
  <c r="AC27" i="1"/>
  <c r="AD27" i="1"/>
  <c r="S28" i="1"/>
  <c r="T28" i="1"/>
  <c r="U28" i="1"/>
  <c r="V28" i="1"/>
  <c r="W28" i="1"/>
  <c r="X28" i="1"/>
  <c r="Y28" i="1"/>
  <c r="Z28" i="1"/>
  <c r="AA28" i="1"/>
  <c r="AB28" i="1"/>
  <c r="AC28" i="1"/>
  <c r="AD28" i="1"/>
  <c r="S29" i="1"/>
  <c r="T29" i="1"/>
  <c r="U29" i="1"/>
  <c r="V29" i="1"/>
  <c r="W29" i="1"/>
  <c r="X29" i="1"/>
  <c r="Y29" i="1"/>
  <c r="Z29" i="1"/>
  <c r="AA29" i="1"/>
  <c r="AB29" i="1"/>
  <c r="AC29" i="1"/>
  <c r="AD29" i="1"/>
  <c r="S30" i="1"/>
  <c r="T30" i="1"/>
  <c r="U30" i="1"/>
  <c r="V30" i="1"/>
  <c r="W30" i="1"/>
  <c r="X30" i="1"/>
  <c r="Y30" i="1"/>
  <c r="Z30" i="1"/>
  <c r="AA30" i="1"/>
  <c r="AB30" i="1"/>
  <c r="AC30" i="1"/>
  <c r="AD30" i="1"/>
  <c r="S31" i="1"/>
  <c r="T31" i="1"/>
  <c r="U31" i="1"/>
  <c r="V31" i="1"/>
  <c r="W31" i="1"/>
  <c r="X31" i="1"/>
  <c r="Y31" i="1"/>
  <c r="Z31" i="1"/>
  <c r="AA31" i="1"/>
  <c r="AB31" i="1"/>
  <c r="AC31" i="1"/>
  <c r="AD31" i="1"/>
  <c r="S32" i="1"/>
  <c r="T32" i="1"/>
  <c r="U32" i="1"/>
  <c r="V32" i="1"/>
  <c r="W32" i="1"/>
  <c r="X32" i="1"/>
  <c r="Y32" i="1"/>
  <c r="Z32" i="1"/>
  <c r="AA32" i="1"/>
  <c r="AB32" i="1"/>
  <c r="AC32" i="1"/>
  <c r="AD32" i="1"/>
  <c r="S33" i="1"/>
  <c r="T33" i="1"/>
  <c r="U33" i="1"/>
  <c r="V33" i="1"/>
  <c r="W33" i="1"/>
  <c r="X33" i="1"/>
  <c r="Y33" i="1"/>
  <c r="Z33" i="1"/>
  <c r="AA33" i="1"/>
  <c r="AB33" i="1"/>
  <c r="AC33" i="1"/>
  <c r="AD33" i="1"/>
  <c r="S34" i="1"/>
  <c r="T34" i="1"/>
  <c r="U34" i="1"/>
  <c r="V34" i="1"/>
  <c r="W34" i="1"/>
  <c r="X34" i="1"/>
  <c r="Y34" i="1"/>
  <c r="Z34" i="1"/>
  <c r="AA34" i="1"/>
  <c r="AB34" i="1"/>
  <c r="AC34" i="1"/>
  <c r="AD34" i="1"/>
  <c r="S35" i="1"/>
  <c r="T35" i="1"/>
  <c r="U35" i="1"/>
  <c r="V35" i="1"/>
  <c r="W35" i="1"/>
  <c r="X35" i="1"/>
  <c r="Y35" i="1"/>
  <c r="Z35" i="1"/>
  <c r="AA35" i="1"/>
  <c r="AB35" i="1"/>
  <c r="AC35" i="1"/>
  <c r="AD35" i="1"/>
  <c r="S36" i="1"/>
  <c r="T36" i="1"/>
  <c r="U36" i="1"/>
  <c r="V36" i="1"/>
  <c r="W36" i="1"/>
  <c r="X36" i="1"/>
  <c r="Y36" i="1"/>
  <c r="Z36" i="1"/>
  <c r="AA36" i="1"/>
  <c r="AB36" i="1"/>
  <c r="AC36" i="1"/>
  <c r="AD36" i="1"/>
  <c r="S37" i="1"/>
  <c r="T37" i="1"/>
  <c r="U37" i="1"/>
  <c r="V37" i="1"/>
  <c r="W37" i="1"/>
  <c r="X37" i="1"/>
  <c r="Y37" i="1"/>
  <c r="Z37" i="1"/>
  <c r="AA37" i="1"/>
  <c r="AB37" i="1"/>
  <c r="AC37" i="1"/>
  <c r="AD37" i="1"/>
  <c r="S38" i="1"/>
  <c r="T38" i="1"/>
  <c r="U38" i="1"/>
  <c r="V38" i="1"/>
  <c r="W38" i="1"/>
  <c r="X38" i="1"/>
  <c r="Y38" i="1"/>
  <c r="Z38" i="1"/>
  <c r="AA38" i="1"/>
  <c r="AB38" i="1"/>
  <c r="AC38" i="1"/>
  <c r="AD38" i="1"/>
  <c r="S39" i="1"/>
  <c r="T39" i="1"/>
  <c r="U39" i="1"/>
  <c r="V39" i="1"/>
  <c r="W39" i="1"/>
  <c r="X39" i="1"/>
  <c r="Y39" i="1"/>
  <c r="Z39" i="1"/>
  <c r="AA39" i="1"/>
  <c r="AB39" i="1"/>
  <c r="AC39" i="1"/>
  <c r="AD39" i="1"/>
  <c r="S40" i="1"/>
  <c r="T40" i="1"/>
  <c r="U40" i="1"/>
  <c r="V40" i="1"/>
  <c r="W40" i="1"/>
  <c r="X40" i="1"/>
  <c r="Y40" i="1"/>
  <c r="Z40" i="1"/>
  <c r="AA40" i="1"/>
  <c r="AB40" i="1"/>
  <c r="AC40" i="1"/>
  <c r="AD40" i="1"/>
  <c r="S41" i="1"/>
  <c r="T41" i="1"/>
  <c r="U41" i="1"/>
  <c r="V41" i="1"/>
  <c r="W41" i="1"/>
  <c r="X41" i="1"/>
  <c r="Y41" i="1"/>
  <c r="Z41" i="1"/>
  <c r="AA41" i="1"/>
  <c r="AB41" i="1"/>
  <c r="AC41" i="1"/>
  <c r="AD41" i="1"/>
  <c r="S7" i="2"/>
  <c r="T7" i="2"/>
  <c r="U7" i="2"/>
  <c r="V7" i="2"/>
  <c r="W7" i="2"/>
  <c r="X7" i="2"/>
  <c r="Y7" i="2"/>
  <c r="Z7" i="2"/>
  <c r="AA7" i="2"/>
  <c r="AB7" i="2"/>
  <c r="AC7" i="2"/>
  <c r="AD7" i="2"/>
  <c r="S8" i="2"/>
  <c r="T8" i="2"/>
  <c r="U8" i="2"/>
  <c r="V8" i="2"/>
  <c r="W8" i="2"/>
  <c r="X8" i="2"/>
  <c r="Y8" i="2"/>
  <c r="Z8" i="2"/>
  <c r="AA8" i="2"/>
  <c r="AB8" i="2"/>
  <c r="AC8" i="2"/>
  <c r="AD8" i="2"/>
  <c r="S9" i="2"/>
  <c r="T9" i="2"/>
  <c r="U9" i="2"/>
  <c r="V9" i="2"/>
  <c r="W9" i="2"/>
  <c r="X9" i="2"/>
  <c r="Y9" i="2"/>
  <c r="Z9" i="2"/>
  <c r="AA9" i="2"/>
  <c r="AB9" i="2"/>
  <c r="AC9" i="2"/>
  <c r="AD9" i="2"/>
  <c r="S10" i="2"/>
  <c r="T10" i="2"/>
  <c r="U10" i="2"/>
  <c r="V10" i="2"/>
  <c r="W10" i="2"/>
  <c r="X10" i="2"/>
  <c r="Y10" i="2"/>
  <c r="Z10" i="2"/>
  <c r="AA10" i="2"/>
  <c r="AB10" i="2"/>
  <c r="AC10" i="2"/>
  <c r="AD10" i="2"/>
  <c r="S11" i="2"/>
  <c r="T11" i="2"/>
  <c r="U11" i="2"/>
  <c r="V11" i="2"/>
  <c r="W11" i="2"/>
  <c r="X11" i="2"/>
  <c r="Y11" i="2"/>
  <c r="Z11" i="2"/>
  <c r="AA11" i="2"/>
  <c r="AB11" i="2"/>
  <c r="AC11" i="2"/>
  <c r="AD11" i="2"/>
  <c r="S12" i="2"/>
  <c r="T12" i="2"/>
  <c r="U12" i="2"/>
  <c r="V12" i="2"/>
  <c r="W12" i="2"/>
  <c r="X12" i="2"/>
  <c r="Y12" i="2"/>
  <c r="Z12" i="2"/>
  <c r="AA12" i="2"/>
  <c r="AB12" i="2"/>
  <c r="AC12" i="2"/>
  <c r="AD12" i="2"/>
  <c r="S13" i="2"/>
  <c r="T13" i="2"/>
  <c r="U13" i="2"/>
  <c r="V13" i="2"/>
  <c r="W13" i="2"/>
  <c r="X13" i="2"/>
  <c r="Y13" i="2"/>
  <c r="Z13" i="2"/>
  <c r="AA13" i="2"/>
  <c r="AB13" i="2"/>
  <c r="AC13" i="2"/>
  <c r="AD13" i="2"/>
  <c r="S14" i="2"/>
  <c r="T14" i="2"/>
  <c r="U14" i="2"/>
  <c r="V14" i="2"/>
  <c r="W14" i="2"/>
  <c r="X14" i="2"/>
  <c r="Y14" i="2"/>
  <c r="Z14" i="2"/>
  <c r="AA14" i="2"/>
  <c r="AB14" i="2"/>
  <c r="AC14" i="2"/>
  <c r="AD14" i="2"/>
  <c r="S15" i="2"/>
  <c r="T15" i="2"/>
  <c r="U15" i="2"/>
  <c r="V15" i="2"/>
  <c r="W15" i="2"/>
  <c r="X15" i="2"/>
  <c r="Y15" i="2"/>
  <c r="Z15" i="2"/>
  <c r="AA15" i="2"/>
  <c r="AB15" i="2"/>
  <c r="AC15" i="2"/>
  <c r="AD15" i="2"/>
  <c r="S16" i="2"/>
  <c r="T16" i="2"/>
  <c r="U16" i="2"/>
  <c r="V16" i="2"/>
  <c r="W16" i="2"/>
  <c r="X16" i="2"/>
  <c r="Y16" i="2"/>
  <c r="Z16" i="2"/>
  <c r="AA16" i="2"/>
  <c r="AB16" i="2"/>
  <c r="AC16" i="2"/>
  <c r="AD16" i="2"/>
  <c r="S17" i="2"/>
  <c r="T17" i="2"/>
  <c r="U17" i="2"/>
  <c r="V17" i="2"/>
  <c r="W17" i="2"/>
  <c r="X17" i="2"/>
  <c r="Y17" i="2"/>
  <c r="Z17" i="2"/>
  <c r="AA17" i="2"/>
  <c r="AB17" i="2"/>
  <c r="AC17" i="2"/>
  <c r="AD17" i="2"/>
  <c r="S18" i="2"/>
  <c r="T18" i="2"/>
  <c r="U18" i="2"/>
  <c r="V18" i="2"/>
  <c r="W18" i="2"/>
  <c r="X18" i="2"/>
  <c r="Y18" i="2"/>
  <c r="Z18" i="2"/>
  <c r="AA18" i="2"/>
  <c r="AB18" i="2"/>
  <c r="AC18" i="2"/>
  <c r="AD18" i="2"/>
  <c r="S19" i="2"/>
  <c r="T19" i="2"/>
  <c r="U19" i="2"/>
  <c r="V19" i="2"/>
  <c r="W19" i="2"/>
  <c r="X19" i="2"/>
  <c r="Y19" i="2"/>
  <c r="Z19" i="2"/>
  <c r="AA19" i="2"/>
  <c r="AB19" i="2"/>
  <c r="AC19" i="2"/>
  <c r="AD19" i="2"/>
  <c r="S20" i="2"/>
  <c r="T20" i="2"/>
  <c r="U20" i="2"/>
  <c r="V20" i="2"/>
  <c r="W20" i="2"/>
  <c r="X20" i="2"/>
  <c r="Y20" i="2"/>
  <c r="Z20" i="2"/>
  <c r="AA20" i="2"/>
  <c r="AB20" i="2"/>
  <c r="AC20" i="2"/>
  <c r="AD20" i="2"/>
  <c r="S21" i="2"/>
  <c r="T21" i="2"/>
  <c r="U21" i="2"/>
  <c r="V21" i="2"/>
  <c r="W21" i="2"/>
  <c r="X21" i="2"/>
  <c r="Y21" i="2"/>
  <c r="Z21" i="2"/>
  <c r="AA21" i="2"/>
  <c r="AB21" i="2"/>
  <c r="AC21" i="2"/>
  <c r="AD21" i="2"/>
  <c r="S22" i="2"/>
  <c r="T22" i="2"/>
  <c r="U22" i="2"/>
  <c r="V22" i="2"/>
  <c r="W22" i="2"/>
  <c r="X22" i="2"/>
  <c r="Y22" i="2"/>
  <c r="Z22" i="2"/>
  <c r="AA22" i="2"/>
  <c r="AB22" i="2"/>
  <c r="AC22" i="2"/>
  <c r="AD22" i="2"/>
  <c r="S23" i="2"/>
  <c r="T23" i="2"/>
  <c r="U23" i="2"/>
  <c r="V23" i="2"/>
  <c r="W23" i="2"/>
  <c r="X23" i="2"/>
  <c r="Y23" i="2"/>
  <c r="Z23" i="2"/>
  <c r="AA23" i="2"/>
  <c r="AB23" i="2"/>
  <c r="AC23" i="2"/>
  <c r="AD23" i="2"/>
  <c r="S24" i="2"/>
  <c r="T24" i="2"/>
  <c r="U24" i="2"/>
  <c r="V24" i="2"/>
  <c r="W24" i="2"/>
  <c r="X24" i="2"/>
  <c r="Y24" i="2"/>
  <c r="Z24" i="2"/>
  <c r="AA24" i="2"/>
  <c r="AB24" i="2"/>
  <c r="AC24" i="2"/>
  <c r="AD24" i="2"/>
  <c r="S25" i="2"/>
  <c r="T25" i="2"/>
  <c r="U25" i="2"/>
  <c r="V25" i="2"/>
  <c r="W25" i="2"/>
  <c r="X25" i="2"/>
  <c r="Y25" i="2"/>
  <c r="Z25" i="2"/>
  <c r="AA25" i="2"/>
  <c r="AB25" i="2"/>
  <c r="AC25" i="2"/>
  <c r="AD25" i="2"/>
  <c r="S26" i="2"/>
  <c r="T26" i="2"/>
  <c r="U26" i="2"/>
  <c r="V26" i="2"/>
  <c r="W26" i="2"/>
  <c r="X26" i="2"/>
  <c r="Y26" i="2"/>
  <c r="Z26" i="2"/>
  <c r="AA26" i="2"/>
  <c r="AB26" i="2"/>
  <c r="AC26" i="2"/>
  <c r="AD26" i="2"/>
  <c r="S27" i="2"/>
  <c r="T27" i="2"/>
  <c r="U27" i="2"/>
  <c r="V27" i="2"/>
  <c r="W27" i="2"/>
  <c r="X27" i="2"/>
  <c r="Y27" i="2"/>
  <c r="Z27" i="2"/>
  <c r="AA27" i="2"/>
  <c r="AB27" i="2"/>
  <c r="AC27" i="2"/>
  <c r="AD27" i="2"/>
  <c r="S28" i="2"/>
  <c r="T28" i="2"/>
  <c r="U28" i="2"/>
  <c r="V28" i="2"/>
  <c r="W28" i="2"/>
  <c r="X28" i="2"/>
  <c r="Y28" i="2"/>
  <c r="Z28" i="2"/>
  <c r="AA28" i="2"/>
  <c r="AB28" i="2"/>
  <c r="AC28" i="2"/>
  <c r="AD28" i="2"/>
  <c r="S29" i="2"/>
  <c r="T29" i="2"/>
  <c r="U29" i="2"/>
  <c r="V29" i="2"/>
  <c r="W29" i="2"/>
  <c r="X29" i="2"/>
  <c r="Y29" i="2"/>
  <c r="Z29" i="2"/>
  <c r="AA29" i="2"/>
  <c r="AB29" i="2"/>
  <c r="AC29" i="2"/>
  <c r="AD29" i="2"/>
  <c r="S30" i="2"/>
  <c r="T30" i="2"/>
  <c r="U30" i="2"/>
  <c r="V30" i="2"/>
  <c r="W30" i="2"/>
  <c r="X30" i="2"/>
  <c r="Y30" i="2"/>
  <c r="Z30" i="2"/>
  <c r="AA30" i="2"/>
  <c r="AB30" i="2"/>
  <c r="AC30" i="2"/>
  <c r="AD30" i="2"/>
  <c r="S31" i="2"/>
  <c r="T31" i="2"/>
  <c r="U31" i="2"/>
  <c r="V31" i="2"/>
  <c r="W31" i="2"/>
  <c r="X31" i="2"/>
  <c r="Y31" i="2"/>
  <c r="Z31" i="2"/>
  <c r="AA31" i="2"/>
  <c r="AB31" i="2"/>
  <c r="AC31" i="2"/>
  <c r="AD31" i="2"/>
  <c r="S32" i="2"/>
  <c r="T32" i="2"/>
  <c r="U32" i="2"/>
  <c r="V32" i="2"/>
  <c r="W32" i="2"/>
  <c r="X32" i="2"/>
  <c r="Y32" i="2"/>
  <c r="Z32" i="2"/>
  <c r="AA32" i="2"/>
  <c r="AB32" i="2"/>
  <c r="AC32" i="2"/>
  <c r="AD32" i="2"/>
  <c r="S33" i="2"/>
  <c r="T33" i="2"/>
  <c r="U33" i="2"/>
  <c r="V33" i="2"/>
  <c r="W33" i="2"/>
  <c r="X33" i="2"/>
  <c r="Y33" i="2"/>
  <c r="Z33" i="2"/>
  <c r="AA33" i="2"/>
  <c r="AB33" i="2"/>
  <c r="AC33" i="2"/>
  <c r="AD33" i="2"/>
  <c r="S34" i="2"/>
  <c r="T34" i="2"/>
  <c r="U34" i="2"/>
  <c r="V34" i="2"/>
  <c r="W34" i="2"/>
  <c r="X34" i="2"/>
  <c r="Y34" i="2"/>
  <c r="Z34" i="2"/>
  <c r="AA34" i="2"/>
  <c r="AB34" i="2"/>
  <c r="AC34" i="2"/>
  <c r="AD34" i="2"/>
  <c r="S35" i="2"/>
  <c r="T35" i="2"/>
  <c r="U35" i="2"/>
  <c r="V35" i="2"/>
  <c r="W35" i="2"/>
  <c r="X35" i="2"/>
  <c r="Y35" i="2"/>
  <c r="Z35" i="2"/>
  <c r="AA35" i="2"/>
  <c r="AB35" i="2"/>
  <c r="AC35" i="2"/>
  <c r="AD35" i="2"/>
  <c r="S36" i="2"/>
  <c r="T36" i="2"/>
  <c r="U36" i="2"/>
  <c r="V36" i="2"/>
  <c r="W36" i="2"/>
  <c r="X36" i="2"/>
  <c r="Y36" i="2"/>
  <c r="Z36" i="2"/>
  <c r="AA36" i="2"/>
  <c r="AB36" i="2"/>
  <c r="AC36" i="2"/>
  <c r="AD36" i="2"/>
  <c r="S37" i="2"/>
  <c r="T37" i="2"/>
  <c r="U37" i="2"/>
  <c r="V37" i="2"/>
  <c r="W37" i="2"/>
  <c r="X37" i="2"/>
  <c r="Y37" i="2"/>
  <c r="Z37" i="2"/>
  <c r="AA37" i="2"/>
  <c r="AB37" i="2"/>
  <c r="AC37" i="2"/>
  <c r="AD37" i="2"/>
  <c r="S38" i="2"/>
  <c r="T38" i="2"/>
  <c r="U38" i="2"/>
  <c r="V38" i="2"/>
  <c r="W38" i="2"/>
  <c r="X38" i="2"/>
  <c r="Y38" i="2"/>
  <c r="Z38" i="2"/>
  <c r="AA38" i="2"/>
  <c r="AB38" i="2"/>
  <c r="AC38" i="2"/>
  <c r="AD38" i="2"/>
  <c r="S39" i="2"/>
  <c r="T39" i="2"/>
  <c r="U39" i="2"/>
  <c r="V39" i="2"/>
  <c r="W39" i="2"/>
  <c r="X39" i="2"/>
  <c r="Y39" i="2"/>
  <c r="Z39" i="2"/>
  <c r="AA39" i="2"/>
  <c r="AB39" i="2"/>
  <c r="AC39" i="2"/>
  <c r="AD39" i="2"/>
  <c r="S40" i="2"/>
  <c r="T40" i="2"/>
  <c r="U40" i="2"/>
  <c r="V40" i="2"/>
  <c r="W40" i="2"/>
  <c r="X40" i="2"/>
  <c r="Y40" i="2"/>
  <c r="Z40" i="2"/>
  <c r="AA40" i="2"/>
  <c r="AB40" i="2"/>
  <c r="AC40" i="2"/>
  <c r="AD40" i="2"/>
  <c r="S41" i="2"/>
  <c r="T41" i="2"/>
  <c r="U41" i="2"/>
  <c r="V41" i="2"/>
  <c r="W41" i="2"/>
  <c r="X41" i="2"/>
  <c r="Y41" i="2"/>
  <c r="Z41" i="2"/>
  <c r="AA41" i="2"/>
  <c r="AB41" i="2"/>
  <c r="AC41" i="2"/>
  <c r="AD41" i="2"/>
  <c r="AD6" i="2"/>
  <c r="AC6" i="2"/>
  <c r="AB6" i="2"/>
  <c r="AA6" i="2"/>
  <c r="Z6" i="2"/>
  <c r="Y6" i="2"/>
  <c r="X6" i="2"/>
  <c r="W6" i="2"/>
  <c r="V6" i="2"/>
  <c r="U6" i="2"/>
  <c r="T6" i="2"/>
  <c r="AD6" i="1"/>
  <c r="AC6" i="1"/>
  <c r="AB6" i="1"/>
  <c r="AA6" i="1"/>
  <c r="Z6" i="1"/>
  <c r="Y6" i="1"/>
  <c r="X6" i="1"/>
  <c r="W6" i="1"/>
  <c r="V6" i="1"/>
  <c r="U6" i="1"/>
  <c r="T6" i="1"/>
  <c r="S6" i="2"/>
  <c r="S6" i="1"/>
</calcChain>
</file>

<file path=xl/sharedStrings.xml><?xml version="1.0" encoding="utf-8"?>
<sst xmlns="http://schemas.openxmlformats.org/spreadsheetml/2006/main" count="161" uniqueCount="102">
  <si>
    <r>
      <rPr>
        <b/>
        <sz val="5"/>
        <rFont val="Arial"/>
        <family val="2"/>
      </rPr>
      <t xml:space="preserve">PEMERINTAH PROVINSI SUMATERA BARAT SEKRETARIAT DAERAH
</t>
    </r>
    <r>
      <rPr>
        <b/>
        <sz val="5"/>
        <rFont val="Arial"/>
        <family val="2"/>
      </rPr>
      <t xml:space="preserve">ANGGARAN KAS SKPD
</t>
    </r>
    <r>
      <rPr>
        <b/>
        <sz val="5"/>
        <rFont val="Arial"/>
        <family val="2"/>
      </rPr>
      <t>TAHUN ANGGARAN 2025</t>
    </r>
  </si>
  <si>
    <r>
      <rPr>
        <sz val="5"/>
        <rFont val="Arial MT"/>
        <family val="2"/>
      </rPr>
      <t>Kode Rekening</t>
    </r>
  </si>
  <si>
    <r>
      <rPr>
        <sz val="5"/>
        <rFont val="Arial MT"/>
        <family val="2"/>
      </rPr>
      <t>4.01.01.1.01.0001</t>
    </r>
  </si>
  <si>
    <t>Kode Sub Unit</t>
  </si>
  <si>
    <t>Kode Rekening</t>
  </si>
  <si>
    <t>Uraian</t>
  </si>
  <si>
    <t>Jumlah Anggaran</t>
  </si>
  <si>
    <t>Jumlah RAK</t>
  </si>
  <si>
    <t>Semester I</t>
  </si>
  <si>
    <t>Semester II</t>
  </si>
  <si>
    <t>Triwulan I</t>
  </si>
  <si>
    <t>Triwulan II</t>
  </si>
  <si>
    <t>Triwulan III</t>
  </si>
  <si>
    <t>Triwulan IV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</si>
  <si>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</si>
  <si>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</si>
  <si>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</si>
  <si>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</si>
  <si>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</si>
  <si>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</si>
  <si>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</si>
  <si>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</si>
  <si>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</si>
  <si>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</si>
  <si>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</si>
  <si>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</si>
  <si>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r>
      <rPr>
        <b/>
        <sz val="5"/>
        <rFont val="Times New Roman"/>
        <family val="1"/>
      </rPr>
      <t>JUMLAH ALOKASI KAS YANG TERSEDIA DARI BELANJA DAN
PENGELUARAN PEMBIAYAAN PER TRIWULAN</t>
    </r>
  </si>
  <si>
    <r>
      <rPr>
        <sz val="5"/>
        <rFont val="Arial MT"/>
        <family val="2"/>
      </rPr>
      <t>Penyusunan Dokumen Perencanaan Perangkat
Daerah</t>
    </r>
  </si>
  <si>
    <t>No</t>
  </si>
  <si>
    <t>Keuangan (Rp.)</t>
  </si>
  <si>
    <t xml:space="preserve">Fisik </t>
  </si>
  <si>
    <t>February</t>
  </si>
  <si>
    <t>January</t>
  </si>
  <si>
    <t>March</t>
  </si>
  <si>
    <t>May</t>
  </si>
  <si>
    <t>June</t>
  </si>
  <si>
    <t>July</t>
  </si>
  <si>
    <t>August</t>
  </si>
  <si>
    <t>October</t>
  </si>
  <si>
    <t>December</t>
  </si>
  <si>
    <r>
      <rPr>
        <b/>
        <sz val="5"/>
        <rFont val="Arial"/>
        <family val="2"/>
      </rPr>
      <t>ALOKASI PENDAPATAN DAN PENERIMAAN PEMBIAYAAN</t>
    </r>
  </si>
  <si>
    <r>
      <rPr>
        <b/>
        <sz val="5"/>
        <rFont val="Arial"/>
        <family val="2"/>
      </rPr>
      <t>4.01.0.00.0.00.01.0000</t>
    </r>
  </si>
  <si>
    <r>
      <rPr>
        <b/>
        <sz val="5"/>
        <rFont val="Arial"/>
        <family val="2"/>
      </rPr>
      <t>SEKRETARIAT DAERAH</t>
    </r>
  </si>
  <si>
    <r>
      <rPr>
        <b/>
        <sz val="5"/>
        <rFont val="Arial"/>
        <family val="2"/>
      </rPr>
      <t>4.1</t>
    </r>
  </si>
  <si>
    <r>
      <rPr>
        <b/>
        <sz val="5"/>
        <rFont val="Arial"/>
        <family val="2"/>
      </rPr>
      <t>PENDAPATAN ASLI DAERAH (PAD)</t>
    </r>
  </si>
  <si>
    <r>
      <rPr>
        <b/>
        <sz val="5"/>
        <rFont val="Arial"/>
        <family val="2"/>
      </rPr>
      <t>Retribusi Daerah</t>
    </r>
  </si>
  <si>
    <r>
      <rPr>
        <b/>
        <sz val="5"/>
        <rFont val="Arial"/>
        <family val="2"/>
      </rPr>
      <t xml:space="preserve">JUMLAH ALOKASI KAS YANG TERSEDIA DARI PENDAPATAN DAN
</t>
    </r>
    <r>
      <rPr>
        <b/>
        <sz val="5"/>
        <rFont val="Arial"/>
        <family val="2"/>
      </rPr>
      <t>PENERIMAAN PEMBIAYAAN PER BULAN</t>
    </r>
  </si>
  <si>
    <r>
      <rPr>
        <b/>
        <sz val="5"/>
        <rFont val="Arial"/>
        <family val="2"/>
      </rPr>
      <t xml:space="preserve">JUMLAH ALOKASI KAS YANG TERSEDIA DARI PENDAPATAN DAN
</t>
    </r>
    <r>
      <rPr>
        <b/>
        <sz val="5"/>
        <rFont val="Arial"/>
        <family val="2"/>
      </rPr>
      <t>PENERIMAAN PEMBIAYAAN PER TRIWULAN</t>
    </r>
  </si>
  <si>
    <r>
      <rPr>
        <b/>
        <sz val="5"/>
        <rFont val="Arial"/>
        <family val="2"/>
      </rPr>
      <t xml:space="preserve">JUMLAH ALOKASI KAS YANG TERSEDIA DARI PENDAPATAN DAN
</t>
    </r>
    <r>
      <rPr>
        <b/>
        <sz val="5"/>
        <rFont val="Arial"/>
        <family val="2"/>
      </rPr>
      <t>PENERIMAAN PEMBIAYAAN PER SEMESTER</t>
    </r>
  </si>
  <si>
    <r>
      <rPr>
        <b/>
        <sz val="5"/>
        <rFont val="Arial"/>
        <family val="2"/>
      </rPr>
      <t>ALOKASI BELANJA DAN PENGELUARAN PEMBIAYAAN</t>
    </r>
  </si>
  <si>
    <r>
      <rPr>
        <b/>
        <sz val="5"/>
        <rFont val="Arial"/>
        <family val="2"/>
      </rPr>
      <t>4.01.0.00.0.00.01.0001</t>
    </r>
  </si>
  <si>
    <r>
      <rPr>
        <b/>
        <sz val="5"/>
        <rFont val="Arial"/>
        <family val="2"/>
      </rPr>
      <t>BIRO UMUM</t>
    </r>
  </si>
  <si>
    <r>
      <rPr>
        <b/>
        <sz val="5"/>
        <rFont val="Arial"/>
        <family val="2"/>
      </rPr>
      <t>4.01</t>
    </r>
  </si>
  <si>
    <r>
      <rPr>
        <b/>
        <sz val="5"/>
        <rFont val="Arial"/>
        <family val="2"/>
      </rPr>
      <t xml:space="preserve">PROGRAM PENUNJANG URUSAN
</t>
    </r>
    <r>
      <rPr>
        <b/>
        <sz val="5"/>
        <rFont val="Arial"/>
        <family val="2"/>
      </rPr>
      <t>PEMERINTAHAN DAERAH PROVINSI</t>
    </r>
  </si>
  <si>
    <r>
      <rPr>
        <b/>
        <sz val="5"/>
        <rFont val="Arial"/>
        <family val="2"/>
      </rPr>
      <t>4.01.01.1.01</t>
    </r>
  </si>
  <si>
    <r>
      <rPr>
        <b/>
        <sz val="5"/>
        <rFont val="Arial"/>
        <family val="2"/>
      </rPr>
      <t xml:space="preserve">Perencanaan, Penganggaran, dan Evaluasi
</t>
    </r>
    <r>
      <rPr>
        <b/>
        <sz val="5"/>
        <rFont val="Arial"/>
        <family val="2"/>
      </rPr>
      <t>Kinerja Perangkat Daerah</t>
    </r>
  </si>
  <si>
    <r>
      <rPr>
        <sz val="5"/>
        <rFont val="Arial MT"/>
        <family val="2"/>
      </rPr>
      <t xml:space="preserve">Penyusunan Dokumen Perencanaan Perangkat
</t>
    </r>
    <r>
      <rPr>
        <sz val="5"/>
        <rFont val="Arial MT"/>
        <family val="2"/>
      </rPr>
      <t>Daerah</t>
    </r>
  </si>
  <si>
    <r>
      <rPr>
        <sz val="5"/>
        <rFont val="Arial MT"/>
        <family val="2"/>
      </rPr>
      <t>4.01.01.1.01.0006</t>
    </r>
  </si>
  <si>
    <r>
      <rPr>
        <sz val="5"/>
        <rFont val="Arial MT"/>
        <family val="2"/>
      </rPr>
      <t xml:space="preserve">Koordinasi dan Penyusunan Laporan Capaian
</t>
    </r>
    <r>
      <rPr>
        <sz val="5"/>
        <rFont val="Arial MT"/>
        <family val="2"/>
      </rPr>
      <t>Kinerja dan Ikhtisar Realisasi Kinerja SKPD</t>
    </r>
  </si>
  <si>
    <r>
      <rPr>
        <sz val="5"/>
        <rFont val="Arial MT"/>
        <family val="2"/>
      </rPr>
      <t>4.01.01.1.01.0007</t>
    </r>
  </si>
  <si>
    <r>
      <rPr>
        <sz val="5"/>
        <rFont val="Arial MT"/>
        <family val="2"/>
      </rPr>
      <t>Evaluasi Kinerja Perangkat Daerah</t>
    </r>
  </si>
  <si>
    <r>
      <rPr>
        <b/>
        <sz val="5"/>
        <rFont val="Arial"/>
        <family val="2"/>
      </rPr>
      <t>4.01.01.1.02</t>
    </r>
  </si>
  <si>
    <r>
      <rPr>
        <b/>
        <sz val="5"/>
        <rFont val="Arial"/>
        <family val="2"/>
      </rPr>
      <t>Administrasi Keuangan Perangkat Daerah</t>
    </r>
  </si>
  <si>
    <r>
      <rPr>
        <sz val="5"/>
        <rFont val="Arial MT"/>
        <family val="2"/>
      </rPr>
      <t>4.01.01.1.02.0001</t>
    </r>
  </si>
  <si>
    <r>
      <rPr>
        <sz val="5"/>
        <rFont val="Arial MT"/>
        <family val="2"/>
      </rPr>
      <t>Penyediaan Gaji dan Tunjangan ASN</t>
    </r>
  </si>
  <si>
    <r>
      <rPr>
        <sz val="5"/>
        <rFont val="Arial MT"/>
        <family val="2"/>
      </rPr>
      <t>4.01.01.1.02.0003</t>
    </r>
  </si>
  <si>
    <r>
      <rPr>
        <sz val="5"/>
        <rFont val="Arial MT"/>
        <family val="2"/>
      </rPr>
      <t xml:space="preserve">Pelaksanaan Penatausahaan dan
</t>
    </r>
    <r>
      <rPr>
        <sz val="5"/>
        <rFont val="Arial MT"/>
        <family val="2"/>
      </rPr>
      <t>Pengujian/Verifikasi Keuangan SKPD</t>
    </r>
  </si>
  <si>
    <r>
      <rPr>
        <sz val="5"/>
        <rFont val="Arial MT"/>
        <family val="2"/>
      </rPr>
      <t>4.01.01.1.02.0007</t>
    </r>
  </si>
  <si>
    <r>
      <rPr>
        <sz val="5"/>
        <rFont val="Arial MT"/>
        <family val="2"/>
      </rPr>
      <t xml:space="preserve">Koordinasi dan Penyusunan Laporan Keuangan
</t>
    </r>
    <r>
      <rPr>
        <sz val="5"/>
        <rFont val="Arial MT"/>
        <family val="2"/>
      </rPr>
      <t>Bulanan/ Triwulanan/Semesteran SKPD</t>
    </r>
  </si>
  <si>
    <r>
      <rPr>
        <b/>
        <sz val="5"/>
        <rFont val="Arial"/>
        <family val="2"/>
      </rPr>
      <t>4.01.01.1.03</t>
    </r>
  </si>
  <si>
    <r>
      <rPr>
        <b/>
        <sz val="5"/>
        <rFont val="Arial"/>
        <family val="2"/>
      </rPr>
      <t xml:space="preserve">Administrasi Barang Milik Daerah pada
</t>
    </r>
    <r>
      <rPr>
        <b/>
        <sz val="5"/>
        <rFont val="Arial"/>
        <family val="2"/>
      </rPr>
      <t>Perangkat Daerah</t>
    </r>
  </si>
  <si>
    <r>
      <rPr>
        <sz val="5"/>
        <rFont val="Arial MT"/>
        <family val="2"/>
      </rPr>
      <t>4.01.01.1.03.0002</t>
    </r>
  </si>
  <si>
    <r>
      <rPr>
        <sz val="5"/>
        <rFont val="Arial MT"/>
        <family val="2"/>
      </rPr>
      <t>Pengamanan Barang Milik Daerah SKPD</t>
    </r>
  </si>
  <si>
    <r>
      <rPr>
        <sz val="5"/>
        <rFont val="Arial MT"/>
        <family val="2"/>
      </rPr>
      <t>4.01.01.1.03.0006</t>
    </r>
  </si>
  <si>
    <r>
      <rPr>
        <sz val="5"/>
        <rFont val="Arial MT"/>
        <family val="2"/>
      </rPr>
      <t xml:space="preserve">Penatausahaan Barang Milik Daerah pada
</t>
    </r>
    <r>
      <rPr>
        <sz val="5"/>
        <rFont val="Arial MT"/>
        <family val="2"/>
      </rPr>
      <t>SKPD</t>
    </r>
  </si>
  <si>
    <r>
      <rPr>
        <b/>
        <sz val="5"/>
        <rFont val="Arial"/>
        <family val="2"/>
      </rPr>
      <t>4.01.01.1.05</t>
    </r>
  </si>
  <si>
    <r>
      <rPr>
        <b/>
        <sz val="5"/>
        <rFont val="Arial"/>
        <family val="2"/>
      </rPr>
      <t xml:space="preserve">Administrasi Kepegawaian Perangkat
</t>
    </r>
    <r>
      <rPr>
        <b/>
        <sz val="5"/>
        <rFont val="Arial"/>
        <family val="2"/>
      </rPr>
      <t>Daerah</t>
    </r>
  </si>
  <si>
    <r>
      <rPr>
        <sz val="5"/>
        <rFont val="Arial MT"/>
        <family val="2"/>
      </rPr>
      <t>4.01.01.1.05.0009</t>
    </r>
  </si>
  <si>
    <r>
      <rPr>
        <sz val="5"/>
        <rFont val="Arial MT"/>
        <family val="2"/>
      </rPr>
      <t xml:space="preserve">Pendidikan dan Pelatihan Pegawai
</t>
    </r>
    <r>
      <rPr>
        <sz val="5"/>
        <rFont val="Arial MT"/>
        <family val="2"/>
      </rPr>
      <t>Berdasarkan Tugas dan Fungsi</t>
    </r>
  </si>
  <si>
    <r>
      <rPr>
        <b/>
        <sz val="5"/>
        <rFont val="Arial"/>
        <family val="2"/>
      </rPr>
      <t>4.01.01.1.06</t>
    </r>
  </si>
  <si>
    <r>
      <rPr>
        <b/>
        <sz val="5"/>
        <rFont val="Arial"/>
        <family val="2"/>
      </rPr>
      <t>Administrasi Umum Perangkat Daerah</t>
    </r>
  </si>
  <si>
    <r>
      <rPr>
        <sz val="5"/>
        <rFont val="Arial MT"/>
        <family val="2"/>
      </rPr>
      <t>4.01.01.1.06.0001</t>
    </r>
  </si>
  <si>
    <r>
      <rPr>
        <sz val="5"/>
        <rFont val="Arial MT"/>
        <family val="2"/>
      </rPr>
      <t xml:space="preserve">Penyediaan Komponen Instalasi
</t>
    </r>
    <r>
      <rPr>
        <sz val="5"/>
        <rFont val="Arial MT"/>
        <family val="2"/>
      </rPr>
      <t>Listrik/Penerangan Bangunan Kantor</t>
    </r>
  </si>
  <si>
    <r>
      <rPr>
        <sz val="5"/>
        <rFont val="Arial MT"/>
        <family val="2"/>
      </rPr>
      <t>4.01.01.1.06.0002</t>
    </r>
  </si>
  <si>
    <r>
      <rPr>
        <sz val="5"/>
        <rFont val="Arial MT"/>
        <family val="2"/>
      </rPr>
      <t xml:space="preserve">Penyediaan Peralatan dan Perlengkapan
</t>
    </r>
    <r>
      <rPr>
        <sz val="5"/>
        <rFont val="Arial MT"/>
        <family val="2"/>
      </rPr>
      <t>Kantor</t>
    </r>
  </si>
  <si>
    <r>
      <rPr>
        <sz val="5"/>
        <rFont val="Arial MT"/>
        <family val="2"/>
      </rPr>
      <t>4.01.01.1.06.0003</t>
    </r>
  </si>
  <si>
    <r>
      <rPr>
        <sz val="5"/>
        <rFont val="Arial MT"/>
        <family val="2"/>
      </rPr>
      <t>Penyediaan Peralatan Rumah Tangga</t>
    </r>
  </si>
  <si>
    <r>
      <rPr>
        <sz val="5"/>
        <rFont val="Arial MT"/>
        <family val="2"/>
      </rPr>
      <t>4.01.01.1.06.0004</t>
    </r>
  </si>
  <si>
    <r>
      <rPr>
        <sz val="5"/>
        <rFont val="Arial MT"/>
        <family val="2"/>
      </rPr>
      <t>Penyediaan Bahan Logistik Kantor</t>
    </r>
  </si>
  <si>
    <r>
      <rPr>
        <sz val="5"/>
        <rFont val="Arial MT"/>
        <family val="2"/>
      </rPr>
      <t>4.01.01.1.06.0005</t>
    </r>
  </si>
  <si>
    <r>
      <rPr>
        <sz val="5"/>
        <rFont val="Arial MT"/>
        <family val="2"/>
      </rPr>
      <t>Penyediaan Barang Cetakan dan Penggandaan</t>
    </r>
  </si>
  <si>
    <r>
      <rPr>
        <sz val="5"/>
        <rFont val="Arial MT"/>
        <family val="2"/>
      </rPr>
      <t>4.01.01.1.06.0006</t>
    </r>
  </si>
  <si>
    <r>
      <rPr>
        <sz val="5"/>
        <rFont val="Arial MT"/>
        <family val="2"/>
      </rPr>
      <t xml:space="preserve">Penyediaan Bahan Bacaan dan Peraturan
</t>
    </r>
    <r>
      <rPr>
        <sz val="5"/>
        <rFont val="Arial MT"/>
        <family val="2"/>
      </rPr>
      <t>Perundang-Undangan</t>
    </r>
  </si>
  <si>
    <r>
      <rPr>
        <sz val="5"/>
        <rFont val="Arial MT"/>
        <family val="2"/>
      </rPr>
      <t>4.01.01.1.06.0009</t>
    </r>
  </si>
  <si>
    <r>
      <rPr>
        <sz val="5"/>
        <rFont val="Arial MT"/>
        <family val="2"/>
      </rPr>
      <t xml:space="preserve">Penyelenggaraan Rapat Koordinasi dan
</t>
    </r>
    <r>
      <rPr>
        <sz val="5"/>
        <rFont val="Arial MT"/>
        <family val="2"/>
      </rPr>
      <t>Konsultasi SKPD</t>
    </r>
  </si>
  <si>
    <r>
      <rPr>
        <sz val="5"/>
        <rFont val="Arial MT"/>
        <family val="2"/>
      </rPr>
      <t>4.01.01.1.06.0010</t>
    </r>
  </si>
  <si>
    <r>
      <rPr>
        <sz val="5"/>
        <rFont val="Arial MT"/>
        <family val="2"/>
      </rPr>
      <t>Penatausahaan Arsip Dinamis pada SKPD</t>
    </r>
  </si>
  <si>
    <r>
      <rPr>
        <b/>
        <sz val="5"/>
        <rFont val="Arial"/>
        <family val="2"/>
      </rPr>
      <t>4.01.01.1.07</t>
    </r>
  </si>
  <si>
    <r>
      <rPr>
        <b/>
        <sz val="5"/>
        <rFont val="Arial"/>
        <family val="2"/>
      </rPr>
      <t xml:space="preserve">Pengadaan Barang Milik Daerah Penunjang
</t>
    </r>
    <r>
      <rPr>
        <b/>
        <sz val="5"/>
        <rFont val="Arial"/>
        <family val="2"/>
      </rPr>
      <t>Urusan Pemerintah Daerah</t>
    </r>
  </si>
  <si>
    <r>
      <rPr>
        <b/>
        <sz val="5"/>
        <rFont val="Arial"/>
        <family val="2"/>
      </rPr>
      <t xml:space="preserve">JUMLAH ALOKASI KAS YANG TERSEDIA DARI BELANJA DAN
</t>
    </r>
    <r>
      <rPr>
        <b/>
        <sz val="5"/>
        <rFont val="Arial"/>
        <family val="2"/>
      </rPr>
      <t>PENGELUARAN PEMBIAYAAN PER SEMESTER</t>
    </r>
  </si>
  <si>
    <r>
      <rPr>
        <b/>
        <sz val="5"/>
        <rFont val="Arial"/>
        <family val="2"/>
      </rPr>
      <t xml:space="preserve">Padang,Tanggal 06 Oktober 2025 Disiapkan Oleh
</t>
    </r>
    <r>
      <rPr>
        <b/>
        <sz val="5"/>
        <rFont val="Arial"/>
        <family val="2"/>
      </rPr>
      <t>SEKRETARIS DAERAH</t>
    </r>
  </si>
  <si>
    <r>
      <rPr>
        <b/>
        <u/>
        <sz val="5"/>
        <rFont val="Arial"/>
        <family val="2"/>
      </rPr>
      <t xml:space="preserve">ARRY YUSWANDI, SKM, MKM
</t>
    </r>
    <r>
      <rPr>
        <b/>
        <sz val="5"/>
        <rFont val="Arial"/>
        <family val="2"/>
      </rPr>
      <t>NIP. 197508101999031006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</si>
</sst>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\.d\.yy;@"/>
  </numFmts>
  <fonts count="13" x14ac:knownFonts="1">
    <font>
      <sz val="10"/>
      <color rgb="FF000000"/>
      <name val="Times New Roman"/>
      <charset val="204"/>
    </font>
    <font>
      <sz val="5"/>
      <name val="Arial MT"/>
    </font>
    <font>
      <sz val="5"/>
      <color rgb="FF000000"/>
      <name val="Arial MT"/>
      <family val="2"/>
    </font>
    <font>
      <b/>
      <sz val="5"/>
      <name val="Arial"/>
      <family val="2"/>
    </font>
    <font>
      <sz val="5"/>
      <name val="Arial MT"/>
      <family val="2"/>
    </font>
    <font>
      <sz val="10"/>
      <color rgb="FF000000"/>
      <name val="Times New Roman"/>
      <family val="1"/>
    </font>
    <font>
      <sz val="5"/>
      <name val="Times New Roman"/>
      <family val="1"/>
    </font>
    <font>
      <b/>
      <sz val="5"/>
      <name val="Times New Roman"/>
      <family val="1"/>
    </font>
    <font>
      <b/>
      <sz val="5"/>
      <color rgb="FF000000"/>
      <name val="Times New Roman"/>
      <family val="1"/>
    </font>
    <font>
      <sz val="5"/>
      <color rgb="FF000000"/>
      <name val="Times New Roman"/>
      <family val="1"/>
    </font>
    <font>
      <b/>
      <sz val="5"/>
      <name val="Arial"/>
    </font>
    <font>
      <b/>
      <sz val="5"/>
      <color rgb="FF000000"/>
      <name val="Arial"/>
      <family val="2"/>
    </font>
    <font>
      <b/>
      <u/>
      <sz val="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EBEBE"/>
      </patternFill>
    </fill>
    <fill>
      <patternFill patternType="solid">
        <fgColor rgb="FFFBE3D5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center" wrapText="1"/>
    </xf>
    <xf numFmtId="4" fontId="2" fillId="0" borderId="1" xfId="0" applyNumberFormat="1" applyFont="1" applyFill="1" applyBorder="1" applyAlignment="1">
      <alignment horizontal="right" vertical="center" shrinkToFit="1"/>
    </xf>
    <xf numFmtId="2" fontId="2" fillId="0" borderId="1" xfId="0" applyNumberFormat="1" applyFont="1" applyFill="1" applyBorder="1" applyAlignment="1">
      <alignment horizontal="right" vertical="center" shrinkToFit="1"/>
    </xf>
    <xf numFmtId="0" fontId="5" fillId="0" borderId="0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left" vertical="top" wrapText="1" indent="2"/>
    </xf>
    <xf numFmtId="4" fontId="8" fillId="2" borderId="1" xfId="0" applyNumberFormat="1" applyFont="1" applyFill="1" applyBorder="1" applyAlignment="1">
      <alignment horizontal="center" vertical="center" shrinkToFit="1"/>
    </xf>
    <xf numFmtId="4" fontId="8" fillId="2" borderId="1" xfId="0" applyNumberFormat="1" applyFont="1" applyFill="1" applyBorder="1" applyAlignment="1">
      <alignment horizontal="right" vertical="center" shrinkToFit="1"/>
    </xf>
    <xf numFmtId="0" fontId="0" fillId="0" borderId="0" xfId="0" applyFill="1" applyBorder="1" applyAlignment="1">
      <alignment vertical="top"/>
    </xf>
    <xf numFmtId="0" fontId="0" fillId="0" borderId="0" xfId="0" applyFill="1" applyBorder="1" applyAlignment="1">
      <alignment vertical="top" wrapText="1"/>
    </xf>
    <xf numFmtId="0" fontId="6" fillId="0" borderId="5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top" wrapText="1"/>
    </xf>
    <xf numFmtId="4" fontId="8" fillId="2" borderId="5" xfId="0" applyNumberFormat="1" applyFont="1" applyFill="1" applyBorder="1" applyAlignment="1">
      <alignment horizontal="right" vertical="center" shrinkToFit="1"/>
    </xf>
    <xf numFmtId="4" fontId="8" fillId="2" borderId="6" xfId="0" applyNumberFormat="1" applyFont="1" applyFill="1" applyBorder="1" applyAlignment="1">
      <alignment horizontal="right" vertical="center" shrinkToFit="1"/>
    </xf>
    <xf numFmtId="4" fontId="8" fillId="2" borderId="7" xfId="0" applyNumberFormat="1" applyFont="1" applyFill="1" applyBorder="1" applyAlignment="1">
      <alignment horizontal="right" vertical="center" shrinkToFit="1"/>
    </xf>
    <xf numFmtId="0" fontId="1" fillId="0" borderId="3" xfId="0" applyFont="1" applyFill="1" applyBorder="1" applyAlignment="1">
      <alignment vertical="top" wrapText="1"/>
    </xf>
    <xf numFmtId="0" fontId="1" fillId="0" borderId="4" xfId="0" applyFont="1" applyFill="1" applyBorder="1" applyAlignment="1">
      <alignment vertical="top" wrapText="1"/>
    </xf>
    <xf numFmtId="0" fontId="1" fillId="0" borderId="3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 wrapText="1"/>
    </xf>
    <xf numFmtId="0" fontId="9" fillId="0" borderId="8" xfId="0" applyFont="1" applyFill="1" applyBorder="1" applyAlignment="1">
      <alignment horizontal="center" vertical="top"/>
    </xf>
    <xf numFmtId="0" fontId="9" fillId="2" borderId="5" xfId="0" applyFont="1" applyFill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 wrapText="1"/>
    </xf>
    <xf numFmtId="2" fontId="9" fillId="0" borderId="0" xfId="0" applyNumberFormat="1" applyFont="1" applyFill="1" applyBorder="1" applyAlignment="1">
      <alignment horizontal="left" vertical="top"/>
    </xf>
    <xf numFmtId="4" fontId="8" fillId="2" borderId="5" xfId="0" applyNumberFormat="1" applyFont="1" applyFill="1" applyBorder="1" applyAlignment="1">
      <alignment horizontal="left" vertical="center" shrinkToFit="1"/>
    </xf>
    <xf numFmtId="0" fontId="6" fillId="0" borderId="1" xfId="0" applyFont="1" applyFill="1" applyBorder="1" applyAlignment="1">
      <alignment horizontal="left" vertical="top"/>
    </xf>
    <xf numFmtId="0" fontId="6" fillId="0" borderId="5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top" wrapText="1"/>
    </xf>
    <xf numFmtId="0" fontId="9" fillId="0" borderId="8" xfId="0" applyFont="1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 wrapText="1"/>
    </xf>
    <xf numFmtId="0" fontId="5" fillId="0" borderId="9" xfId="0" applyFont="1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left" vertical="top" wrapText="1" indent="3"/>
    </xf>
    <xf numFmtId="0" fontId="6" fillId="0" borderId="3" xfId="0" applyFont="1" applyFill="1" applyBorder="1" applyAlignment="1">
      <alignment horizontal="left" vertical="top" wrapText="1" indent="3"/>
    </xf>
    <xf numFmtId="0" fontId="6" fillId="0" borderId="4" xfId="0" applyFont="1" applyFill="1" applyBorder="1" applyAlignment="1">
      <alignment horizontal="left" vertical="top" wrapText="1" indent="3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 indent="1"/>
    </xf>
    <xf numFmtId="0" fontId="6" fillId="0" borderId="3" xfId="0" applyFont="1" applyFill="1" applyBorder="1" applyAlignment="1">
      <alignment horizontal="left" vertical="center" wrapText="1" indent="1"/>
    </xf>
    <xf numFmtId="0" fontId="6" fillId="0" borderId="4" xfId="0" applyFont="1" applyFill="1" applyBorder="1" applyAlignment="1">
      <alignment horizontal="left" vertical="center" wrapText="1" indent="1"/>
    </xf>
    <xf numFmtId="0" fontId="6" fillId="0" borderId="2" xfId="0" applyFont="1" applyFill="1" applyBorder="1" applyAlignment="1">
      <alignment horizontal="left" vertical="center" wrapText="1" indent="2"/>
    </xf>
    <xf numFmtId="0" fontId="6" fillId="0" borderId="3" xfId="0" applyFont="1" applyFill="1" applyBorder="1" applyAlignment="1">
      <alignment horizontal="left" vertical="center" wrapText="1" indent="2"/>
    </xf>
    <xf numFmtId="0" fontId="6" fillId="0" borderId="4" xfId="0" applyFont="1" applyFill="1" applyBorder="1" applyAlignment="1">
      <alignment horizontal="left" vertical="center" wrapText="1" indent="2"/>
    </xf>
    <xf numFmtId="0" fontId="1" fillId="0" borderId="0" xfId="0" applyFont="1" applyFill="1" applyBorder="1" applyAlignment="1">
      <alignment horizontal="center" vertical="top" wrapText="1"/>
    </xf>
    <xf numFmtId="0" fontId="1" fillId="0" borderId="8" xfId="0" applyFont="1" applyFill="1" applyBorder="1" applyAlignment="1">
      <alignment horizontal="center" vertical="top" wrapText="1"/>
    </xf>
    <xf numFmtId="0" fontId="1" fillId="0" borderId="9" xfId="0" applyFont="1" applyFill="1" applyBorder="1" applyAlignment="1">
      <alignment horizontal="center" vertical="top" wrapText="1"/>
    </xf>
    <xf numFmtId="0" fontId="1" fillId="0" borderId="10" xfId="0" applyFont="1" applyFill="1" applyBorder="1" applyAlignment="1">
      <alignment horizontal="center" vertical="top" wrapText="1"/>
    </xf>
    <xf numFmtId="0" fontId="10" fillId="2" borderId="5" xfId="0" applyFont="1" applyFill="1" applyBorder="1" applyAlignment="1">
      <alignment horizontal="left" vertical="top" wrapText="1"/>
    </xf>
    <xf numFmtId="0" fontId="10" fillId="2" borderId="6" xfId="0" applyFont="1" applyFill="1" applyBorder="1" applyAlignment="1">
      <alignment horizontal="left" vertical="top" wrapText="1"/>
    </xf>
    <xf numFmtId="0" fontId="10" fillId="2" borderId="7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4" fontId="11" fillId="3" borderId="1" xfId="0" applyNumberFormat="1" applyFont="1" applyFill="1" applyBorder="1" applyAlignment="1">
      <alignment horizontal="right" vertical="top" shrinkToFit="1"/>
    </xf>
    <xf numFmtId="2" fontId="11" fillId="3" borderId="1" xfId="0" applyNumberFormat="1" applyFont="1" applyFill="1" applyBorder="1" applyAlignment="1">
      <alignment horizontal="right" vertical="top" shrinkToFit="1"/>
    </xf>
    <xf numFmtId="0" fontId="10" fillId="0" borderId="1" xfId="0" applyFont="1" applyFill="1" applyBorder="1" applyAlignment="1">
      <alignment horizontal="left" vertical="top" wrapText="1"/>
    </xf>
    <xf numFmtId="4" fontId="11" fillId="0" borderId="1" xfId="0" applyNumberFormat="1" applyFont="1" applyFill="1" applyBorder="1" applyAlignment="1">
      <alignment horizontal="right" vertical="top" shrinkToFit="1"/>
    </xf>
    <xf numFmtId="2" fontId="11" fillId="0" borderId="1" xfId="0" applyNumberFormat="1" applyFont="1" applyFill="1" applyBorder="1" applyAlignment="1">
      <alignment horizontal="right" vertical="top" shrinkToFit="1"/>
    </xf>
    <xf numFmtId="164" fontId="11" fillId="0" borderId="1" xfId="0" applyNumberFormat="1" applyFont="1" applyFill="1" applyBorder="1" applyAlignment="1">
      <alignment horizontal="left" vertical="top" shrinkToFit="1"/>
    </xf>
    <xf numFmtId="0" fontId="0" fillId="2" borderId="5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4" fontId="11" fillId="2" borderId="1" xfId="0" applyNumberFormat="1" applyFont="1" applyFill="1" applyBorder="1" applyAlignment="1">
      <alignment horizontal="right" vertical="center" shrinkToFit="1"/>
    </xf>
    <xf numFmtId="2" fontId="11" fillId="2" borderId="1" xfId="0" applyNumberFormat="1" applyFont="1" applyFill="1" applyBorder="1" applyAlignment="1">
      <alignment horizontal="right" vertical="center" shrinkToFit="1"/>
    </xf>
    <xf numFmtId="4" fontId="11" fillId="2" borderId="5" xfId="0" applyNumberFormat="1" applyFont="1" applyFill="1" applyBorder="1" applyAlignment="1">
      <alignment horizontal="right" vertical="center" shrinkToFit="1"/>
    </xf>
    <xf numFmtId="4" fontId="11" fillId="2" borderId="6" xfId="0" applyNumberFormat="1" applyFont="1" applyFill="1" applyBorder="1" applyAlignment="1">
      <alignment horizontal="right" vertical="center" shrinkToFit="1"/>
    </xf>
    <xf numFmtId="4" fontId="11" fillId="2" borderId="7" xfId="0" applyNumberFormat="1" applyFont="1" applyFill="1" applyBorder="1" applyAlignment="1">
      <alignment horizontal="right" vertical="center" shrinkToFit="1"/>
    </xf>
    <xf numFmtId="2" fontId="11" fillId="2" borderId="5" xfId="0" applyNumberFormat="1" applyFont="1" applyFill="1" applyBorder="1" applyAlignment="1">
      <alignment horizontal="right" vertical="center" shrinkToFit="1"/>
    </xf>
    <xf numFmtId="2" fontId="11" fillId="2" borderId="6" xfId="0" applyNumberFormat="1" applyFont="1" applyFill="1" applyBorder="1" applyAlignment="1">
      <alignment horizontal="right" vertical="center" shrinkToFit="1"/>
    </xf>
    <xf numFmtId="2" fontId="11" fillId="2" borderId="7" xfId="0" applyNumberFormat="1" applyFont="1" applyFill="1" applyBorder="1" applyAlignment="1">
      <alignment horizontal="right" vertical="center" shrinkToFit="1"/>
    </xf>
    <xf numFmtId="0" fontId="0" fillId="2" borderId="1" xfId="0" applyFill="1" applyBorder="1" applyAlignment="1">
      <alignment horizontal="left" wrapText="1"/>
    </xf>
    <xf numFmtId="164" fontId="11" fillId="0" borderId="1" xfId="0" applyNumberFormat="1" applyFont="1" applyFill="1" applyBorder="1" applyAlignment="1">
      <alignment horizontal="left" vertical="center" shrinkToFit="1"/>
    </xf>
    <xf numFmtId="0" fontId="0" fillId="0" borderId="1" xfId="0" applyFill="1" applyBorder="1" applyAlignment="1">
      <alignment horizontal="left" vertical="top" wrapText="1"/>
    </xf>
    <xf numFmtId="4" fontId="11" fillId="0" borderId="1" xfId="0" applyNumberFormat="1" applyFont="1" applyFill="1" applyBorder="1" applyAlignment="1">
      <alignment horizontal="right" vertical="center" shrinkToFit="1"/>
    </xf>
    <xf numFmtId="0" fontId="10" fillId="0" borderId="1" xfId="0" applyFont="1" applyFill="1" applyBorder="1" applyAlignment="1">
      <alignment horizontal="left" vertical="center" wrapText="1"/>
    </xf>
    <xf numFmtId="2" fontId="11" fillId="0" borderId="1" xfId="0" applyNumberFormat="1" applyFont="1" applyFill="1" applyBorder="1" applyAlignment="1">
      <alignment horizontal="right" vertical="center" shrinkToFit="1"/>
    </xf>
    <xf numFmtId="0" fontId="1" fillId="0" borderId="1" xfId="0" applyFont="1" applyFill="1" applyBorder="1" applyAlignment="1">
      <alignment horizontal="left" vertical="top" wrapText="1"/>
    </xf>
    <xf numFmtId="2" fontId="2" fillId="0" borderId="1" xfId="0" applyNumberFormat="1" applyFont="1" applyFill="1" applyBorder="1" applyAlignment="1">
      <alignment horizontal="right" vertical="top" shrinkToFit="1"/>
    </xf>
    <xf numFmtId="4" fontId="2" fillId="0" borderId="1" xfId="0" applyNumberFormat="1" applyFont="1" applyFill="1" applyBorder="1" applyAlignment="1">
      <alignment horizontal="right" vertical="top" shrinkToFit="1"/>
    </xf>
    <xf numFmtId="4" fontId="11" fillId="2" borderId="1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1"/>
  <sheetViews>
    <sheetView tabSelected="1" zoomScale="115" zoomScaleNormal="115" workbookViewId="0">
      <selection activeCell="D2" sqref="D2"/>
    </sheetView>
  </sheetViews>
  <sheetFormatPr defaultRowHeight="12.75" x14ac:dyDescent="0.2"/>
  <cols>
    <col min="1" max="1" width="5.6640625" customWidth="1"/>
    <col min="3" max="3" width="15.83203125" customWidth="1"/>
    <col min="4" max="4" width="26.83203125" customWidth="1"/>
    <col min="5" max="6" width="13.33203125" customWidth="1"/>
    <col min="7" max="7" width="12.6640625" customWidth="1"/>
    <col min="8" max="9" width="12.83203125" customWidth="1"/>
    <col min="10" max="10" width="12.6640625" customWidth="1"/>
    <col min="11" max="12" width="12.83203125" customWidth="1"/>
    <col min="13" max="13" width="12.6640625" customWidth="1"/>
    <col min="14" max="15" width="12.83203125" customWidth="1"/>
    <col min="16" max="16" width="12.6640625" customWidth="1"/>
    <col min="17" max="18" width="12.83203125" customWidth="1"/>
    <col min="19" max="29" width="5.83203125" customWidth="1"/>
    <col min="30" max="30" width="7.1640625" customWidth="1"/>
  </cols>
  <sheetData>
    <row r="1" spans="1:30" ht="34.35" customHeight="1" x14ac:dyDescent="0.2">
      <c r="B1" s="35" t="s">
        <v>0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11"/>
    </row>
    <row r="2" spans="1:30" ht="34.35" customHeight="1" x14ac:dyDescent="0.2">
      <c r="B2" s="1"/>
      <c r="C2" s="1"/>
      <c r="D2" s="1"/>
      <c r="E2" s="1"/>
      <c r="F2" s="1"/>
      <c r="G2" s="36" t="s">
        <v>29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6" t="s">
        <v>30</v>
      </c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</row>
    <row r="3" spans="1:30" s="5" customFormat="1" ht="12.6" customHeight="1" x14ac:dyDescent="0.2">
      <c r="A3" s="34" t="s">
        <v>28</v>
      </c>
      <c r="B3" s="34" t="s">
        <v>3</v>
      </c>
      <c r="C3" s="38" t="s">
        <v>4</v>
      </c>
      <c r="D3" s="41" t="s">
        <v>5</v>
      </c>
      <c r="E3" s="44" t="s">
        <v>6</v>
      </c>
      <c r="F3" s="47" t="s">
        <v>7</v>
      </c>
      <c r="G3" s="31" t="s">
        <v>8</v>
      </c>
      <c r="H3" s="32"/>
      <c r="I3" s="32"/>
      <c r="J3" s="32"/>
      <c r="K3" s="32"/>
      <c r="L3" s="33"/>
      <c r="M3" s="31" t="s">
        <v>9</v>
      </c>
      <c r="N3" s="32"/>
      <c r="O3" s="32"/>
      <c r="P3" s="32"/>
      <c r="Q3" s="32"/>
      <c r="R3" s="33"/>
      <c r="S3" s="31" t="s">
        <v>8</v>
      </c>
      <c r="T3" s="32"/>
      <c r="U3" s="32"/>
      <c r="V3" s="32"/>
      <c r="W3" s="32"/>
      <c r="X3" s="33"/>
      <c r="Y3" s="31" t="s">
        <v>9</v>
      </c>
      <c r="Z3" s="32"/>
      <c r="AA3" s="32"/>
      <c r="AB3" s="32"/>
      <c r="AC3" s="32"/>
      <c r="AD3" s="33"/>
    </row>
    <row r="4" spans="1:30" s="5" customFormat="1" ht="12.6" customHeight="1" x14ac:dyDescent="0.2">
      <c r="A4" s="34"/>
      <c r="B4" s="34"/>
      <c r="C4" s="39"/>
      <c r="D4" s="42"/>
      <c r="E4" s="45"/>
      <c r="F4" s="48"/>
      <c r="G4" s="31" t="s">
        <v>10</v>
      </c>
      <c r="H4" s="32"/>
      <c r="I4" s="33"/>
      <c r="J4" s="31" t="s">
        <v>11</v>
      </c>
      <c r="K4" s="32"/>
      <c r="L4" s="33"/>
      <c r="M4" s="31" t="s">
        <v>12</v>
      </c>
      <c r="N4" s="32"/>
      <c r="O4" s="33"/>
      <c r="P4" s="31" t="s">
        <v>13</v>
      </c>
      <c r="Q4" s="32"/>
      <c r="R4" s="33"/>
      <c r="S4" s="31" t="s">
        <v>10</v>
      </c>
      <c r="T4" s="32"/>
      <c r="U4" s="33"/>
      <c r="V4" s="31" t="s">
        <v>11</v>
      </c>
      <c r="W4" s="32"/>
      <c r="X4" s="33"/>
      <c r="Y4" s="31" t="s">
        <v>12</v>
      </c>
      <c r="Z4" s="32"/>
      <c r="AA4" s="33"/>
      <c r="AB4" s="31" t="s">
        <v>13</v>
      </c>
      <c r="AC4" s="32"/>
      <c r="AD4" s="33"/>
    </row>
    <row r="5" spans="1:30" s="5" customFormat="1" ht="13.35" customHeight="1" x14ac:dyDescent="0.2">
      <c r="A5" s="34"/>
      <c r="B5" s="34"/>
      <c r="C5" s="40"/>
      <c r="D5" s="43"/>
      <c r="E5" s="46"/>
      <c r="F5" s="49"/>
      <c r="G5" s="6" t="s">
        <v>14</v>
      </c>
      <c r="H5" s="7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6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30" t="s">
        <v>32</v>
      </c>
      <c r="T5" s="30" t="s">
        <v>31</v>
      </c>
      <c r="U5" s="30" t="s">
        <v>33</v>
      </c>
      <c r="V5" s="30" t="s">
        <v>17</v>
      </c>
      <c r="W5" s="30" t="s">
        <v>34</v>
      </c>
      <c r="X5" s="30" t="s">
        <v>35</v>
      </c>
      <c r="Y5" s="30" t="s">
        <v>36</v>
      </c>
      <c r="Z5" s="30" t="s">
        <v>37</v>
      </c>
      <c r="AA5" s="30" t="s">
        <v>22</v>
      </c>
      <c r="AB5" s="30" t="s">
        <v>38</v>
      </c>
      <c r="AC5" s="30" t="s">
        <v>24</v>
      </c>
      <c r="AD5" s="30" t="s">
        <v>39</v>
      </c>
    </row>
    <row r="6" spans="1:30" ht="22.5" customHeight="1" x14ac:dyDescent="0.2">
      <c r="B6" s="22"/>
      <c r="C6" s="2" t="s">
        <v>2</v>
      </c>
      <c r="D6" s="23" t="s">
        <v>27</v>
      </c>
      <c r="E6" s="3">
        <v>4880000</v>
      </c>
      <c r="F6" s="3">
        <v>4880000</v>
      </c>
      <c r="G6" s="4">
        <v>0</v>
      </c>
      <c r="H6" s="3">
        <v>4560000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3">
        <v>320000</v>
      </c>
      <c r="R6" s="4">
        <v>0</v>
      </c>
      <c r="S6" s="28">
        <f>G6/$E6*100</f>
        <v>0</v>
      </c>
      <c r="T6" s="28">
        <f t="shared" ref="T6:AD6" si="0">H6/$E6*100</f>
        <v>93.442622950819683</v>
      </c>
      <c r="U6" s="28">
        <f t="shared" si="0"/>
        <v>0</v>
      </c>
      <c r="V6" s="28">
        <f t="shared" si="0"/>
        <v>0</v>
      </c>
      <c r="W6" s="28">
        <f t="shared" si="0"/>
        <v>0</v>
      </c>
      <c r="X6" s="28">
        <f t="shared" si="0"/>
        <v>0</v>
      </c>
      <c r="Y6" s="28">
        <f t="shared" si="0"/>
        <v>0</v>
      </c>
      <c r="Z6" s="28">
        <f t="shared" si="0"/>
        <v>0</v>
      </c>
      <c r="AA6" s="28">
        <f t="shared" si="0"/>
        <v>0</v>
      </c>
      <c r="AB6" s="28">
        <f t="shared" si="0"/>
        <v>0</v>
      </c>
      <c r="AC6" s="28">
        <f t="shared" si="0"/>
        <v>6.557377049180328</v>
      </c>
      <c r="AD6" s="28">
        <f t="shared" si="0"/>
        <v>0</v>
      </c>
    </row>
    <row r="7" spans="1:30" x14ac:dyDescent="0.2">
      <c r="C7" s="54" t="s">
        <v>40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6"/>
      <c r="S7" s="28">
        <f t="shared" ref="S7:S41" si="1">G7/$E$6*100</f>
        <v>0</v>
      </c>
      <c r="T7" s="28">
        <f t="shared" ref="T7:T41" si="2">H7/$E$6*100</f>
        <v>0</v>
      </c>
      <c r="U7" s="28">
        <f t="shared" ref="U7:U41" si="3">I7/$E$6*100</f>
        <v>0</v>
      </c>
      <c r="V7" s="28">
        <f t="shared" ref="V7:V41" si="4">J7/$E$6*100</f>
        <v>0</v>
      </c>
      <c r="W7" s="28">
        <f t="shared" ref="W7:W41" si="5">K7/$E$6*100</f>
        <v>0</v>
      </c>
      <c r="X7" s="28">
        <f t="shared" ref="X7:X41" si="6">L7/$E$6*100</f>
        <v>0</v>
      </c>
      <c r="Y7" s="28">
        <f t="shared" ref="Y7:Y41" si="7">M7/$E$6*100</f>
        <v>0</v>
      </c>
      <c r="Z7" s="28">
        <f t="shared" ref="Z7:Z41" si="8">N7/$E$6*100</f>
        <v>0</v>
      </c>
      <c r="AA7" s="28">
        <f t="shared" ref="AA7:AA41" si="9">O7/$E$6*100</f>
        <v>0</v>
      </c>
      <c r="AB7" s="28">
        <f t="shared" ref="AB7:AB41" si="10">P7/$E$6*100</f>
        <v>0</v>
      </c>
      <c r="AC7" s="28">
        <f t="shared" ref="AC7:AC41" si="11">Q7/$E$6*100</f>
        <v>0</v>
      </c>
      <c r="AD7" s="28">
        <f t="shared" ref="AD7:AD41" si="12">R7/$E$6*100</f>
        <v>0</v>
      </c>
    </row>
    <row r="8" spans="1:30" ht="16.5" x14ac:dyDescent="0.2">
      <c r="C8" s="57" t="s">
        <v>41</v>
      </c>
      <c r="D8" s="57" t="s">
        <v>42</v>
      </c>
      <c r="E8" s="58">
        <v>129800000</v>
      </c>
      <c r="F8" s="58">
        <v>129800000</v>
      </c>
      <c r="G8" s="58">
        <v>14000000</v>
      </c>
      <c r="H8" s="58">
        <v>27800000</v>
      </c>
      <c r="I8" s="59">
        <v>0</v>
      </c>
      <c r="J8" s="58">
        <v>25800000</v>
      </c>
      <c r="K8" s="58">
        <v>23400000</v>
      </c>
      <c r="L8" s="59">
        <v>0</v>
      </c>
      <c r="M8" s="58">
        <v>17800000</v>
      </c>
      <c r="N8" s="58">
        <v>21000000</v>
      </c>
      <c r="O8" s="59">
        <v>0</v>
      </c>
      <c r="P8" s="59">
        <v>0</v>
      </c>
      <c r="Q8" s="59">
        <v>0</v>
      </c>
      <c r="R8" s="59">
        <v>0</v>
      </c>
      <c r="S8" s="28">
        <f t="shared" si="1"/>
        <v>286.88524590163934</v>
      </c>
      <c r="T8" s="28">
        <f t="shared" si="2"/>
        <v>569.67213114754099</v>
      </c>
      <c r="U8" s="28">
        <f t="shared" si="3"/>
        <v>0</v>
      </c>
      <c r="V8" s="28">
        <f t="shared" si="4"/>
        <v>528.68852459016398</v>
      </c>
      <c r="W8" s="28">
        <f t="shared" si="5"/>
        <v>479.50819672131149</v>
      </c>
      <c r="X8" s="28">
        <f t="shared" si="6"/>
        <v>0</v>
      </c>
      <c r="Y8" s="28">
        <f t="shared" si="7"/>
        <v>364.75409836065575</v>
      </c>
      <c r="Z8" s="28">
        <f t="shared" si="8"/>
        <v>430.32786885245901</v>
      </c>
      <c r="AA8" s="28">
        <f t="shared" si="9"/>
        <v>0</v>
      </c>
      <c r="AB8" s="28">
        <f t="shared" si="10"/>
        <v>0</v>
      </c>
      <c r="AC8" s="28">
        <f t="shared" si="11"/>
        <v>0</v>
      </c>
      <c r="AD8" s="28">
        <f t="shared" si="12"/>
        <v>0</v>
      </c>
    </row>
    <row r="9" spans="1:30" x14ac:dyDescent="0.2">
      <c r="C9" s="60" t="s">
        <v>43</v>
      </c>
      <c r="D9" s="60" t="s">
        <v>44</v>
      </c>
      <c r="E9" s="61">
        <v>129800000</v>
      </c>
      <c r="F9" s="61">
        <v>129800000</v>
      </c>
      <c r="G9" s="61">
        <v>14000000</v>
      </c>
      <c r="H9" s="61">
        <v>27800000</v>
      </c>
      <c r="I9" s="62">
        <v>0</v>
      </c>
      <c r="J9" s="61">
        <v>25800000</v>
      </c>
      <c r="K9" s="61">
        <v>23400000</v>
      </c>
      <c r="L9" s="62">
        <v>0</v>
      </c>
      <c r="M9" s="61">
        <v>17800000</v>
      </c>
      <c r="N9" s="61">
        <v>21000000</v>
      </c>
      <c r="O9" s="62">
        <v>0</v>
      </c>
      <c r="P9" s="62">
        <v>0</v>
      </c>
      <c r="Q9" s="62">
        <v>0</v>
      </c>
      <c r="R9" s="62">
        <v>0</v>
      </c>
      <c r="S9" s="28">
        <f t="shared" si="1"/>
        <v>286.88524590163934</v>
      </c>
      <c r="T9" s="28">
        <f t="shared" si="2"/>
        <v>569.67213114754099</v>
      </c>
      <c r="U9" s="28">
        <f t="shared" si="3"/>
        <v>0</v>
      </c>
      <c r="V9" s="28">
        <f t="shared" si="4"/>
        <v>528.68852459016398</v>
      </c>
      <c r="W9" s="28">
        <f t="shared" si="5"/>
        <v>479.50819672131149</v>
      </c>
      <c r="X9" s="28">
        <f t="shared" si="6"/>
        <v>0</v>
      </c>
      <c r="Y9" s="28">
        <f t="shared" si="7"/>
        <v>364.75409836065575</v>
      </c>
      <c r="Z9" s="28">
        <f t="shared" si="8"/>
        <v>430.32786885245901</v>
      </c>
      <c r="AA9" s="28">
        <f t="shared" si="9"/>
        <v>0</v>
      </c>
      <c r="AB9" s="28">
        <f t="shared" si="10"/>
        <v>0</v>
      </c>
      <c r="AC9" s="28">
        <f t="shared" si="11"/>
        <v>0</v>
      </c>
      <c r="AD9" s="28">
        <f t="shared" si="12"/>
        <v>0</v>
      </c>
    </row>
    <row r="10" spans="1:30" x14ac:dyDescent="0.2">
      <c r="C10" s="63">
        <v>37347</v>
      </c>
      <c r="D10" s="60" t="s">
        <v>45</v>
      </c>
      <c r="E10" s="61">
        <v>129800000</v>
      </c>
      <c r="F10" s="61">
        <v>129800000</v>
      </c>
      <c r="G10" s="61">
        <v>14000000</v>
      </c>
      <c r="H10" s="61">
        <v>27800000</v>
      </c>
      <c r="I10" s="62">
        <v>0</v>
      </c>
      <c r="J10" s="61">
        <v>25800000</v>
      </c>
      <c r="K10" s="61">
        <v>23400000</v>
      </c>
      <c r="L10" s="62">
        <v>0</v>
      </c>
      <c r="M10" s="61">
        <v>17800000</v>
      </c>
      <c r="N10" s="61">
        <v>21000000</v>
      </c>
      <c r="O10" s="62">
        <v>0</v>
      </c>
      <c r="P10" s="62">
        <v>0</v>
      </c>
      <c r="Q10" s="62">
        <v>0</v>
      </c>
      <c r="R10" s="62">
        <v>0</v>
      </c>
      <c r="S10" s="28">
        <f t="shared" si="1"/>
        <v>286.88524590163934</v>
      </c>
      <c r="T10" s="28">
        <f t="shared" si="2"/>
        <v>569.67213114754099</v>
      </c>
      <c r="U10" s="28">
        <f t="shared" si="3"/>
        <v>0</v>
      </c>
      <c r="V10" s="28">
        <f t="shared" si="4"/>
        <v>528.68852459016398</v>
      </c>
      <c r="W10" s="28">
        <f t="shared" si="5"/>
        <v>479.50819672131149</v>
      </c>
      <c r="X10" s="28">
        <f t="shared" si="6"/>
        <v>0</v>
      </c>
      <c r="Y10" s="28">
        <f t="shared" si="7"/>
        <v>364.75409836065575</v>
      </c>
      <c r="Z10" s="28">
        <f t="shared" si="8"/>
        <v>430.32786885245901</v>
      </c>
      <c r="AA10" s="28">
        <f t="shared" si="9"/>
        <v>0</v>
      </c>
      <c r="AB10" s="28">
        <f t="shared" si="10"/>
        <v>0</v>
      </c>
      <c r="AC10" s="28">
        <f t="shared" si="11"/>
        <v>0</v>
      </c>
      <c r="AD10" s="28">
        <f t="shared" si="12"/>
        <v>0</v>
      </c>
    </row>
    <row r="11" spans="1:30" x14ac:dyDescent="0.2">
      <c r="C11" s="64" t="s">
        <v>46</v>
      </c>
      <c r="D11" s="65"/>
      <c r="E11" s="66">
        <v>129800000</v>
      </c>
      <c r="F11" s="66">
        <v>129800000</v>
      </c>
      <c r="G11" s="66">
        <v>14000000</v>
      </c>
      <c r="H11" s="66">
        <v>27800000</v>
      </c>
      <c r="I11" s="67">
        <v>0</v>
      </c>
      <c r="J11" s="66">
        <v>25800000</v>
      </c>
      <c r="K11" s="66">
        <v>23400000</v>
      </c>
      <c r="L11" s="67">
        <v>0</v>
      </c>
      <c r="M11" s="66">
        <v>17800000</v>
      </c>
      <c r="N11" s="66">
        <v>21000000</v>
      </c>
      <c r="O11" s="67">
        <v>0</v>
      </c>
      <c r="P11" s="67">
        <v>0</v>
      </c>
      <c r="Q11" s="67">
        <v>0</v>
      </c>
      <c r="R11" s="67">
        <v>0</v>
      </c>
      <c r="S11" s="28">
        <f t="shared" si="1"/>
        <v>286.88524590163934</v>
      </c>
      <c r="T11" s="28">
        <f t="shared" si="2"/>
        <v>569.67213114754099</v>
      </c>
      <c r="U11" s="28">
        <f t="shared" si="3"/>
        <v>0</v>
      </c>
      <c r="V11" s="28">
        <f t="shared" si="4"/>
        <v>528.68852459016398</v>
      </c>
      <c r="W11" s="28">
        <f t="shared" si="5"/>
        <v>479.50819672131149</v>
      </c>
      <c r="X11" s="28">
        <f t="shared" si="6"/>
        <v>0</v>
      </c>
      <c r="Y11" s="28">
        <f t="shared" si="7"/>
        <v>364.75409836065575</v>
      </c>
      <c r="Z11" s="28">
        <f t="shared" si="8"/>
        <v>430.32786885245901</v>
      </c>
      <c r="AA11" s="28">
        <f t="shared" si="9"/>
        <v>0</v>
      </c>
      <c r="AB11" s="28">
        <f t="shared" si="10"/>
        <v>0</v>
      </c>
      <c r="AC11" s="28">
        <f t="shared" si="11"/>
        <v>0</v>
      </c>
      <c r="AD11" s="28">
        <f t="shared" si="12"/>
        <v>0</v>
      </c>
    </row>
    <row r="12" spans="1:30" x14ac:dyDescent="0.2">
      <c r="C12" s="64" t="s">
        <v>47</v>
      </c>
      <c r="D12" s="65"/>
      <c r="E12" s="66">
        <v>129800000</v>
      </c>
      <c r="F12" s="66">
        <v>129800000</v>
      </c>
      <c r="G12" s="68">
        <v>41800000</v>
      </c>
      <c r="H12" s="69"/>
      <c r="I12" s="70"/>
      <c r="J12" s="68">
        <v>49200000</v>
      </c>
      <c r="K12" s="69"/>
      <c r="L12" s="70"/>
      <c r="M12" s="68">
        <v>38800000</v>
      </c>
      <c r="N12" s="69"/>
      <c r="O12" s="70"/>
      <c r="P12" s="71">
        <v>0</v>
      </c>
      <c r="Q12" s="72"/>
      <c r="R12" s="73"/>
      <c r="S12" s="28">
        <f t="shared" si="1"/>
        <v>856.55737704918022</v>
      </c>
      <c r="T12" s="28">
        <f t="shared" si="2"/>
        <v>0</v>
      </c>
      <c r="U12" s="28">
        <f t="shared" si="3"/>
        <v>0</v>
      </c>
      <c r="V12" s="28">
        <f t="shared" si="4"/>
        <v>1008.1967213114755</v>
      </c>
      <c r="W12" s="28">
        <f t="shared" si="5"/>
        <v>0</v>
      </c>
      <c r="X12" s="28">
        <f t="shared" si="6"/>
        <v>0</v>
      </c>
      <c r="Y12" s="28">
        <f t="shared" si="7"/>
        <v>795.08196721311469</v>
      </c>
      <c r="Z12" s="28">
        <f t="shared" si="8"/>
        <v>0</v>
      </c>
      <c r="AA12" s="28">
        <f t="shared" si="9"/>
        <v>0</v>
      </c>
      <c r="AB12" s="28">
        <f t="shared" si="10"/>
        <v>0</v>
      </c>
      <c r="AC12" s="28">
        <f t="shared" si="11"/>
        <v>0</v>
      </c>
      <c r="AD12" s="28">
        <f t="shared" si="12"/>
        <v>0</v>
      </c>
    </row>
    <row r="13" spans="1:30" x14ac:dyDescent="0.2">
      <c r="C13" s="64" t="s">
        <v>48</v>
      </c>
      <c r="D13" s="65"/>
      <c r="E13" s="66">
        <v>129800000</v>
      </c>
      <c r="F13" s="66">
        <v>129800000</v>
      </c>
      <c r="G13" s="68">
        <v>91000000</v>
      </c>
      <c r="H13" s="69"/>
      <c r="I13" s="69"/>
      <c r="J13" s="69"/>
      <c r="K13" s="69"/>
      <c r="L13" s="70"/>
      <c r="M13" s="68">
        <v>38800000</v>
      </c>
      <c r="N13" s="69"/>
      <c r="O13" s="69"/>
      <c r="P13" s="69"/>
      <c r="Q13" s="69"/>
      <c r="R13" s="70"/>
      <c r="S13" s="28">
        <f t="shared" si="1"/>
        <v>1864.7540983606557</v>
      </c>
      <c r="T13" s="28">
        <f t="shared" si="2"/>
        <v>0</v>
      </c>
      <c r="U13" s="28">
        <f t="shared" si="3"/>
        <v>0</v>
      </c>
      <c r="V13" s="28">
        <f t="shared" si="4"/>
        <v>0</v>
      </c>
      <c r="W13" s="28">
        <f t="shared" si="5"/>
        <v>0</v>
      </c>
      <c r="X13" s="28">
        <f t="shared" si="6"/>
        <v>0</v>
      </c>
      <c r="Y13" s="28">
        <f t="shared" si="7"/>
        <v>795.08196721311469</v>
      </c>
      <c r="Z13" s="28">
        <f t="shared" si="8"/>
        <v>0</v>
      </c>
      <c r="AA13" s="28">
        <f t="shared" si="9"/>
        <v>0</v>
      </c>
      <c r="AB13" s="28">
        <f t="shared" si="10"/>
        <v>0</v>
      </c>
      <c r="AC13" s="28">
        <f t="shared" si="11"/>
        <v>0</v>
      </c>
      <c r="AD13" s="28">
        <f t="shared" si="12"/>
        <v>0</v>
      </c>
    </row>
    <row r="14" spans="1:30" x14ac:dyDescent="0.2"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28">
        <f t="shared" si="1"/>
        <v>0</v>
      </c>
      <c r="T14" s="28">
        <f t="shared" si="2"/>
        <v>0</v>
      </c>
      <c r="U14" s="28">
        <f t="shared" si="3"/>
        <v>0</v>
      </c>
      <c r="V14" s="28">
        <f t="shared" si="4"/>
        <v>0</v>
      </c>
      <c r="W14" s="28">
        <f t="shared" si="5"/>
        <v>0</v>
      </c>
      <c r="X14" s="28">
        <f t="shared" si="6"/>
        <v>0</v>
      </c>
      <c r="Y14" s="28">
        <f t="shared" si="7"/>
        <v>0</v>
      </c>
      <c r="Z14" s="28">
        <f t="shared" si="8"/>
        <v>0</v>
      </c>
      <c r="AA14" s="28">
        <f t="shared" si="9"/>
        <v>0</v>
      </c>
      <c r="AB14" s="28">
        <f t="shared" si="10"/>
        <v>0</v>
      </c>
      <c r="AC14" s="28">
        <f t="shared" si="11"/>
        <v>0</v>
      </c>
      <c r="AD14" s="28">
        <f t="shared" si="12"/>
        <v>0</v>
      </c>
    </row>
    <row r="15" spans="1:30" x14ac:dyDescent="0.2">
      <c r="C15" s="54" t="s">
        <v>49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6"/>
      <c r="S15" s="28">
        <f t="shared" si="1"/>
        <v>0</v>
      </c>
      <c r="T15" s="28">
        <f t="shared" si="2"/>
        <v>0</v>
      </c>
      <c r="U15" s="28">
        <f t="shared" si="3"/>
        <v>0</v>
      </c>
      <c r="V15" s="28">
        <f t="shared" si="4"/>
        <v>0</v>
      </c>
      <c r="W15" s="28">
        <f t="shared" si="5"/>
        <v>0</v>
      </c>
      <c r="X15" s="28">
        <f t="shared" si="6"/>
        <v>0</v>
      </c>
      <c r="Y15" s="28">
        <f t="shared" si="7"/>
        <v>0</v>
      </c>
      <c r="Z15" s="28">
        <f t="shared" si="8"/>
        <v>0</v>
      </c>
      <c r="AA15" s="28">
        <f t="shared" si="9"/>
        <v>0</v>
      </c>
      <c r="AB15" s="28">
        <f t="shared" si="10"/>
        <v>0</v>
      </c>
      <c r="AC15" s="28">
        <f t="shared" si="11"/>
        <v>0</v>
      </c>
      <c r="AD15" s="28">
        <f t="shared" si="12"/>
        <v>0</v>
      </c>
    </row>
    <row r="16" spans="1:30" ht="16.5" x14ac:dyDescent="0.2">
      <c r="C16" s="57" t="s">
        <v>50</v>
      </c>
      <c r="D16" s="57" t="s">
        <v>51</v>
      </c>
      <c r="E16" s="58">
        <v>128442266650</v>
      </c>
      <c r="F16" s="58">
        <v>128442266650</v>
      </c>
      <c r="G16" s="58">
        <v>6835738877</v>
      </c>
      <c r="H16" s="58">
        <v>9218229270</v>
      </c>
      <c r="I16" s="58">
        <v>19339767823</v>
      </c>
      <c r="J16" s="58">
        <v>16338178788</v>
      </c>
      <c r="K16" s="58">
        <v>8643351882</v>
      </c>
      <c r="L16" s="58">
        <v>11924260165</v>
      </c>
      <c r="M16" s="58">
        <v>9952343500</v>
      </c>
      <c r="N16" s="58">
        <v>7928635451</v>
      </c>
      <c r="O16" s="58">
        <v>7896656554</v>
      </c>
      <c r="P16" s="58">
        <v>11826137784</v>
      </c>
      <c r="Q16" s="58">
        <v>11299615852.34</v>
      </c>
      <c r="R16" s="58">
        <v>7239350703.6599998</v>
      </c>
      <c r="S16" s="28">
        <f t="shared" si="1"/>
        <v>140076.61633196721</v>
      </c>
      <c r="T16" s="28">
        <f t="shared" si="2"/>
        <v>188898.14077868854</v>
      </c>
      <c r="U16" s="28">
        <f t="shared" si="3"/>
        <v>396306.71768442623</v>
      </c>
      <c r="V16" s="28">
        <f t="shared" si="4"/>
        <v>334798.7456557377</v>
      </c>
      <c r="W16" s="28">
        <f t="shared" si="5"/>
        <v>177117.86643442622</v>
      </c>
      <c r="X16" s="28">
        <f t="shared" si="6"/>
        <v>244349.59354508197</v>
      </c>
      <c r="Y16" s="28">
        <f t="shared" si="7"/>
        <v>203941.46516393442</v>
      </c>
      <c r="Z16" s="28">
        <f t="shared" si="8"/>
        <v>162472.03793032788</v>
      </c>
      <c r="AA16" s="28">
        <f t="shared" si="9"/>
        <v>161816.73266393444</v>
      </c>
      <c r="AB16" s="28">
        <f t="shared" si="10"/>
        <v>242338.88901639343</v>
      </c>
      <c r="AC16" s="28">
        <f t="shared" si="11"/>
        <v>231549.50517090166</v>
      </c>
      <c r="AD16" s="28">
        <f t="shared" si="12"/>
        <v>148347.35048483606</v>
      </c>
    </row>
    <row r="17" spans="3:30" x14ac:dyDescent="0.2">
      <c r="C17" s="60" t="s">
        <v>52</v>
      </c>
      <c r="D17" s="60" t="s">
        <v>42</v>
      </c>
      <c r="E17" s="61">
        <v>128442266650</v>
      </c>
      <c r="F17" s="61">
        <v>128442266650</v>
      </c>
      <c r="G17" s="61">
        <v>6835738877</v>
      </c>
      <c r="H17" s="61">
        <v>9218229270</v>
      </c>
      <c r="I17" s="61">
        <v>19339767823</v>
      </c>
      <c r="J17" s="61">
        <v>16338178788</v>
      </c>
      <c r="K17" s="61">
        <v>8643351882</v>
      </c>
      <c r="L17" s="61">
        <v>11924260165</v>
      </c>
      <c r="M17" s="61">
        <v>9952343500</v>
      </c>
      <c r="N17" s="61">
        <v>7928635451</v>
      </c>
      <c r="O17" s="61">
        <v>7896656554</v>
      </c>
      <c r="P17" s="61">
        <v>11826137784</v>
      </c>
      <c r="Q17" s="61">
        <v>11299615852.34</v>
      </c>
      <c r="R17" s="61">
        <v>7239350703.6599998</v>
      </c>
      <c r="S17" s="28">
        <f t="shared" si="1"/>
        <v>140076.61633196721</v>
      </c>
      <c r="T17" s="28">
        <f t="shared" si="2"/>
        <v>188898.14077868854</v>
      </c>
      <c r="U17" s="28">
        <f t="shared" si="3"/>
        <v>396306.71768442623</v>
      </c>
      <c r="V17" s="28">
        <f t="shared" si="4"/>
        <v>334798.7456557377</v>
      </c>
      <c r="W17" s="28">
        <f t="shared" si="5"/>
        <v>177117.86643442622</v>
      </c>
      <c r="X17" s="28">
        <f t="shared" si="6"/>
        <v>244349.59354508197</v>
      </c>
      <c r="Y17" s="28">
        <f t="shared" si="7"/>
        <v>203941.46516393442</v>
      </c>
      <c r="Z17" s="28">
        <f t="shared" si="8"/>
        <v>162472.03793032788</v>
      </c>
      <c r="AA17" s="28">
        <f t="shared" si="9"/>
        <v>161816.73266393444</v>
      </c>
      <c r="AB17" s="28">
        <f t="shared" si="10"/>
        <v>242338.88901639343</v>
      </c>
      <c r="AC17" s="28">
        <f t="shared" si="11"/>
        <v>231549.50517090166</v>
      </c>
      <c r="AD17" s="28">
        <f t="shared" si="12"/>
        <v>148347.35048483606</v>
      </c>
    </row>
    <row r="18" spans="3:30" ht="16.5" x14ac:dyDescent="0.2">
      <c r="C18" s="75">
        <v>36982</v>
      </c>
      <c r="D18" s="76" t="s">
        <v>53</v>
      </c>
      <c r="E18" s="77">
        <v>128442266650</v>
      </c>
      <c r="F18" s="77">
        <v>128442266650</v>
      </c>
      <c r="G18" s="77">
        <v>6835738877</v>
      </c>
      <c r="H18" s="77">
        <v>9218229270</v>
      </c>
      <c r="I18" s="77">
        <v>19339767823</v>
      </c>
      <c r="J18" s="77">
        <v>16338178788</v>
      </c>
      <c r="K18" s="77">
        <v>8643351882</v>
      </c>
      <c r="L18" s="77">
        <v>11924260165</v>
      </c>
      <c r="M18" s="77">
        <v>9952343500</v>
      </c>
      <c r="N18" s="77">
        <v>7928635451</v>
      </c>
      <c r="O18" s="77">
        <v>7896656554</v>
      </c>
      <c r="P18" s="77">
        <v>11826137784</v>
      </c>
      <c r="Q18" s="77">
        <v>11299615852.34</v>
      </c>
      <c r="R18" s="77">
        <v>7239350703.6599998</v>
      </c>
      <c r="S18" s="28">
        <f t="shared" si="1"/>
        <v>140076.61633196721</v>
      </c>
      <c r="T18" s="28">
        <f t="shared" si="2"/>
        <v>188898.14077868854</v>
      </c>
      <c r="U18" s="28">
        <f t="shared" si="3"/>
        <v>396306.71768442623</v>
      </c>
      <c r="V18" s="28">
        <f t="shared" si="4"/>
        <v>334798.7456557377</v>
      </c>
      <c r="W18" s="28">
        <f t="shared" si="5"/>
        <v>177117.86643442622</v>
      </c>
      <c r="X18" s="28">
        <f t="shared" si="6"/>
        <v>244349.59354508197</v>
      </c>
      <c r="Y18" s="28">
        <f t="shared" si="7"/>
        <v>203941.46516393442</v>
      </c>
      <c r="Z18" s="28">
        <f t="shared" si="8"/>
        <v>162472.03793032788</v>
      </c>
      <c r="AA18" s="28">
        <f t="shared" si="9"/>
        <v>161816.73266393444</v>
      </c>
      <c r="AB18" s="28">
        <f t="shared" si="10"/>
        <v>242338.88901639343</v>
      </c>
      <c r="AC18" s="28">
        <f t="shared" si="11"/>
        <v>231549.50517090166</v>
      </c>
      <c r="AD18" s="28">
        <f t="shared" si="12"/>
        <v>148347.35048483606</v>
      </c>
    </row>
    <row r="19" spans="3:30" ht="24.75" x14ac:dyDescent="0.2">
      <c r="C19" s="78" t="s">
        <v>54</v>
      </c>
      <c r="D19" s="76" t="s">
        <v>55</v>
      </c>
      <c r="E19" s="77">
        <v>4880000</v>
      </c>
      <c r="F19" s="77">
        <v>4880000</v>
      </c>
      <c r="G19" s="79">
        <v>0</v>
      </c>
      <c r="H19" s="77">
        <v>4560000</v>
      </c>
      <c r="I19" s="79">
        <v>0</v>
      </c>
      <c r="J19" s="79">
        <v>0</v>
      </c>
      <c r="K19" s="79">
        <v>0</v>
      </c>
      <c r="L19" s="79">
        <v>0</v>
      </c>
      <c r="M19" s="79">
        <v>0</v>
      </c>
      <c r="N19" s="79">
        <v>0</v>
      </c>
      <c r="O19" s="79">
        <v>0</v>
      </c>
      <c r="P19" s="79">
        <v>0</v>
      </c>
      <c r="Q19" s="77">
        <v>320000</v>
      </c>
      <c r="R19" s="79">
        <v>0</v>
      </c>
      <c r="S19" s="28">
        <f t="shared" si="1"/>
        <v>0</v>
      </c>
      <c r="T19" s="28">
        <f t="shared" si="2"/>
        <v>93.442622950819683</v>
      </c>
      <c r="U19" s="28">
        <f t="shared" si="3"/>
        <v>0</v>
      </c>
      <c r="V19" s="28">
        <f t="shared" si="4"/>
        <v>0</v>
      </c>
      <c r="W19" s="28">
        <f t="shared" si="5"/>
        <v>0</v>
      </c>
      <c r="X19" s="28">
        <f t="shared" si="6"/>
        <v>0</v>
      </c>
      <c r="Y19" s="28">
        <f t="shared" si="7"/>
        <v>0</v>
      </c>
      <c r="Z19" s="28">
        <f t="shared" si="8"/>
        <v>0</v>
      </c>
      <c r="AA19" s="28">
        <f t="shared" si="9"/>
        <v>0</v>
      </c>
      <c r="AB19" s="28">
        <f t="shared" si="10"/>
        <v>0</v>
      </c>
      <c r="AC19" s="28">
        <f t="shared" si="11"/>
        <v>6.557377049180328</v>
      </c>
      <c r="AD19" s="28">
        <f t="shared" si="12"/>
        <v>0</v>
      </c>
    </row>
    <row r="20" spans="3:30" ht="24.75" x14ac:dyDescent="0.2">
      <c r="C20" s="2" t="s">
        <v>2</v>
      </c>
      <c r="D20" s="76" t="s">
        <v>56</v>
      </c>
      <c r="E20" s="3">
        <v>4880000</v>
      </c>
      <c r="F20" s="3">
        <v>4880000</v>
      </c>
      <c r="G20" s="4">
        <v>0</v>
      </c>
      <c r="H20" s="3">
        <v>4560000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3">
        <v>320000</v>
      </c>
      <c r="R20" s="4">
        <v>0</v>
      </c>
      <c r="S20" s="28">
        <f t="shared" si="1"/>
        <v>0</v>
      </c>
      <c r="T20" s="28">
        <f t="shared" si="2"/>
        <v>93.442622950819683</v>
      </c>
      <c r="U20" s="28">
        <f t="shared" si="3"/>
        <v>0</v>
      </c>
      <c r="V20" s="28">
        <f t="shared" si="4"/>
        <v>0</v>
      </c>
      <c r="W20" s="28">
        <f t="shared" si="5"/>
        <v>0</v>
      </c>
      <c r="X20" s="28">
        <f t="shared" si="6"/>
        <v>0</v>
      </c>
      <c r="Y20" s="28">
        <f t="shared" si="7"/>
        <v>0</v>
      </c>
      <c r="Z20" s="28">
        <f t="shared" si="8"/>
        <v>0</v>
      </c>
      <c r="AA20" s="28">
        <f t="shared" si="9"/>
        <v>0</v>
      </c>
      <c r="AB20" s="28">
        <f t="shared" si="10"/>
        <v>0</v>
      </c>
      <c r="AC20" s="28">
        <f t="shared" si="11"/>
        <v>6.557377049180328</v>
      </c>
      <c r="AD20" s="28">
        <f t="shared" si="12"/>
        <v>0</v>
      </c>
    </row>
    <row r="21" spans="3:30" ht="16.5" x14ac:dyDescent="0.2">
      <c r="C21" s="2" t="s">
        <v>57</v>
      </c>
      <c r="D21" s="76" t="s">
        <v>58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28">
        <f t="shared" si="1"/>
        <v>0</v>
      </c>
      <c r="T21" s="28">
        <f t="shared" si="2"/>
        <v>0</v>
      </c>
      <c r="U21" s="28">
        <f t="shared" si="3"/>
        <v>0</v>
      </c>
      <c r="V21" s="28">
        <f t="shared" si="4"/>
        <v>0</v>
      </c>
      <c r="W21" s="28">
        <f t="shared" si="5"/>
        <v>0</v>
      </c>
      <c r="X21" s="28">
        <f t="shared" si="6"/>
        <v>0</v>
      </c>
      <c r="Y21" s="28">
        <f t="shared" si="7"/>
        <v>0</v>
      </c>
      <c r="Z21" s="28">
        <f t="shared" si="8"/>
        <v>0</v>
      </c>
      <c r="AA21" s="28">
        <f t="shared" si="9"/>
        <v>0</v>
      </c>
      <c r="AB21" s="28">
        <f t="shared" si="10"/>
        <v>0</v>
      </c>
      <c r="AC21" s="28">
        <f t="shared" si="11"/>
        <v>0</v>
      </c>
      <c r="AD21" s="28">
        <f t="shared" si="12"/>
        <v>0</v>
      </c>
    </row>
    <row r="22" spans="3:30" x14ac:dyDescent="0.2">
      <c r="C22" s="80" t="s">
        <v>59</v>
      </c>
      <c r="D22" s="80" t="s">
        <v>60</v>
      </c>
      <c r="E22" s="81">
        <v>0</v>
      </c>
      <c r="F22" s="81">
        <v>0</v>
      </c>
      <c r="G22" s="81">
        <v>0</v>
      </c>
      <c r="H22" s="81">
        <v>0</v>
      </c>
      <c r="I22" s="81">
        <v>0</v>
      </c>
      <c r="J22" s="81">
        <v>0</v>
      </c>
      <c r="K22" s="81">
        <v>0</v>
      </c>
      <c r="L22" s="81">
        <v>0</v>
      </c>
      <c r="M22" s="81">
        <v>0</v>
      </c>
      <c r="N22" s="81">
        <v>0</v>
      </c>
      <c r="O22" s="81">
        <v>0</v>
      </c>
      <c r="P22" s="81">
        <v>0</v>
      </c>
      <c r="Q22" s="81">
        <v>0</v>
      </c>
      <c r="R22" s="81">
        <v>0</v>
      </c>
      <c r="S22" s="28">
        <f t="shared" si="1"/>
        <v>0</v>
      </c>
      <c r="T22" s="28">
        <f t="shared" si="2"/>
        <v>0</v>
      </c>
      <c r="U22" s="28">
        <f t="shared" si="3"/>
        <v>0</v>
      </c>
      <c r="V22" s="28">
        <f t="shared" si="4"/>
        <v>0</v>
      </c>
      <c r="W22" s="28">
        <f t="shared" si="5"/>
        <v>0</v>
      </c>
      <c r="X22" s="28">
        <f t="shared" si="6"/>
        <v>0</v>
      </c>
      <c r="Y22" s="28">
        <f t="shared" si="7"/>
        <v>0</v>
      </c>
      <c r="Z22" s="28">
        <f t="shared" si="8"/>
        <v>0</v>
      </c>
      <c r="AA22" s="28">
        <f t="shared" si="9"/>
        <v>0</v>
      </c>
      <c r="AB22" s="28">
        <f t="shared" si="10"/>
        <v>0</v>
      </c>
      <c r="AC22" s="28">
        <f t="shared" si="11"/>
        <v>0</v>
      </c>
      <c r="AD22" s="28">
        <f t="shared" si="12"/>
        <v>0</v>
      </c>
    </row>
    <row r="23" spans="3:30" ht="16.5" x14ac:dyDescent="0.2">
      <c r="C23" s="60" t="s">
        <v>61</v>
      </c>
      <c r="D23" s="60" t="s">
        <v>62</v>
      </c>
      <c r="E23" s="61">
        <v>61243111691</v>
      </c>
      <c r="F23" s="61">
        <v>61243111691</v>
      </c>
      <c r="G23" s="61">
        <v>3914313836</v>
      </c>
      <c r="H23" s="61">
        <v>4015211036</v>
      </c>
      <c r="I23" s="61">
        <v>12662077312</v>
      </c>
      <c r="J23" s="61">
        <v>4015609436</v>
      </c>
      <c r="K23" s="61">
        <v>4013099931</v>
      </c>
      <c r="L23" s="61">
        <v>8269011838</v>
      </c>
      <c r="M23" s="61">
        <v>4023130639</v>
      </c>
      <c r="N23" s="61">
        <v>4017353597</v>
      </c>
      <c r="O23" s="61">
        <v>4980626957</v>
      </c>
      <c r="P23" s="61">
        <v>3984804608</v>
      </c>
      <c r="Q23" s="61">
        <v>4335930754</v>
      </c>
      <c r="R23" s="61">
        <v>3011941747</v>
      </c>
      <c r="S23" s="28">
        <f>G23/$E$6*100</f>
        <v>80211.349098360661</v>
      </c>
      <c r="T23" s="28">
        <f t="shared" si="2"/>
        <v>82278.914672131141</v>
      </c>
      <c r="U23" s="28">
        <f t="shared" si="3"/>
        <v>259468.79737704917</v>
      </c>
      <c r="V23" s="28">
        <f t="shared" si="4"/>
        <v>82287.078606557377</v>
      </c>
      <c r="W23" s="28">
        <f t="shared" si="5"/>
        <v>82235.65432377049</v>
      </c>
      <c r="X23" s="28">
        <f t="shared" si="6"/>
        <v>169446.96389344262</v>
      </c>
      <c r="Y23" s="28">
        <f t="shared" si="7"/>
        <v>82441.201618852458</v>
      </c>
      <c r="Z23" s="28">
        <f t="shared" si="8"/>
        <v>82322.81961065573</v>
      </c>
      <c r="AA23" s="28">
        <f t="shared" si="9"/>
        <v>102062.02780737705</v>
      </c>
      <c r="AB23" s="28">
        <f t="shared" si="10"/>
        <v>81655.832131147545</v>
      </c>
      <c r="AC23" s="28">
        <f t="shared" si="11"/>
        <v>88851.0400409836</v>
      </c>
      <c r="AD23" s="28">
        <f t="shared" si="12"/>
        <v>61720.117766393443</v>
      </c>
    </row>
    <row r="24" spans="3:30" x14ac:dyDescent="0.2">
      <c r="C24" s="80" t="s">
        <v>63</v>
      </c>
      <c r="D24" s="80" t="s">
        <v>64</v>
      </c>
      <c r="E24" s="82">
        <v>60174321691</v>
      </c>
      <c r="F24" s="82">
        <v>60174321691</v>
      </c>
      <c r="G24" s="82">
        <v>3914313836</v>
      </c>
      <c r="H24" s="82">
        <v>3914313836</v>
      </c>
      <c r="I24" s="82">
        <v>12564288112</v>
      </c>
      <c r="J24" s="82">
        <v>3914313836</v>
      </c>
      <c r="K24" s="82">
        <v>3913064331</v>
      </c>
      <c r="L24" s="82">
        <v>8170315238</v>
      </c>
      <c r="M24" s="82">
        <v>3921324239</v>
      </c>
      <c r="N24" s="82">
        <v>3914465597</v>
      </c>
      <c r="O24" s="82">
        <v>4883129557</v>
      </c>
      <c r="P24" s="82">
        <v>3880765608</v>
      </c>
      <c r="Q24" s="82">
        <v>4232525754</v>
      </c>
      <c r="R24" s="82">
        <v>2951501747</v>
      </c>
      <c r="S24" s="28">
        <f t="shared" si="1"/>
        <v>80211.349098360661</v>
      </c>
      <c r="T24" s="28">
        <f t="shared" si="2"/>
        <v>80211.349098360661</v>
      </c>
      <c r="U24" s="28">
        <f t="shared" si="3"/>
        <v>257464.92032786887</v>
      </c>
      <c r="V24" s="28">
        <f t="shared" si="4"/>
        <v>80211.349098360661</v>
      </c>
      <c r="W24" s="28">
        <f t="shared" si="5"/>
        <v>80185.744487704913</v>
      </c>
      <c r="X24" s="28">
        <f t="shared" si="6"/>
        <v>167424.49258196721</v>
      </c>
      <c r="Y24" s="28">
        <f t="shared" si="7"/>
        <v>80355.004897540988</v>
      </c>
      <c r="Z24" s="28">
        <f t="shared" si="8"/>
        <v>80214.458954918024</v>
      </c>
      <c r="AA24" s="28">
        <f t="shared" si="9"/>
        <v>100064.13026639345</v>
      </c>
      <c r="AB24" s="28">
        <f t="shared" si="10"/>
        <v>79523.885409836061</v>
      </c>
      <c r="AC24" s="28">
        <f t="shared" si="11"/>
        <v>86732.085122950826</v>
      </c>
      <c r="AD24" s="28">
        <f t="shared" si="12"/>
        <v>60481.593176229515</v>
      </c>
    </row>
    <row r="25" spans="3:30" ht="16.5" x14ac:dyDescent="0.2">
      <c r="C25" s="2" t="s">
        <v>65</v>
      </c>
      <c r="D25" s="76" t="s">
        <v>66</v>
      </c>
      <c r="E25" s="3">
        <v>1053085000</v>
      </c>
      <c r="F25" s="3">
        <v>1053085000</v>
      </c>
      <c r="G25" s="4">
        <v>0</v>
      </c>
      <c r="H25" s="3">
        <v>98658000</v>
      </c>
      <c r="I25" s="3">
        <v>96550000</v>
      </c>
      <c r="J25" s="3">
        <v>99056400</v>
      </c>
      <c r="K25" s="3">
        <v>98796400</v>
      </c>
      <c r="L25" s="3">
        <v>98011400</v>
      </c>
      <c r="M25" s="3">
        <v>98796400</v>
      </c>
      <c r="N25" s="3">
        <v>99878000</v>
      </c>
      <c r="O25" s="3">
        <v>96618400</v>
      </c>
      <c r="P25" s="3">
        <v>102875000</v>
      </c>
      <c r="Q25" s="3">
        <v>103405000</v>
      </c>
      <c r="R25" s="3">
        <v>60440000</v>
      </c>
      <c r="S25" s="28">
        <f t="shared" si="1"/>
        <v>0</v>
      </c>
      <c r="T25" s="28">
        <f t="shared" si="2"/>
        <v>2021.6803278688524</v>
      </c>
      <c r="U25" s="28">
        <f t="shared" si="3"/>
        <v>1978.483606557377</v>
      </c>
      <c r="V25" s="28">
        <f t="shared" si="4"/>
        <v>2029.844262295082</v>
      </c>
      <c r="W25" s="28">
        <f t="shared" si="5"/>
        <v>2024.516393442623</v>
      </c>
      <c r="X25" s="28">
        <f t="shared" si="6"/>
        <v>2008.4303278688524</v>
      </c>
      <c r="Y25" s="28">
        <f t="shared" si="7"/>
        <v>2024.516393442623</v>
      </c>
      <c r="Z25" s="28">
        <f t="shared" si="8"/>
        <v>2046.6803278688524</v>
      </c>
      <c r="AA25" s="28">
        <f t="shared" si="9"/>
        <v>1979.8852459016396</v>
      </c>
      <c r="AB25" s="28">
        <f t="shared" si="10"/>
        <v>2108.094262295082</v>
      </c>
      <c r="AC25" s="28">
        <f t="shared" si="11"/>
        <v>2118.9549180327867</v>
      </c>
      <c r="AD25" s="28">
        <f t="shared" si="12"/>
        <v>1238.5245901639344</v>
      </c>
    </row>
    <row r="26" spans="3:30" ht="24.75" x14ac:dyDescent="0.2">
      <c r="C26" s="2" t="s">
        <v>67</v>
      </c>
      <c r="D26" s="76" t="s">
        <v>68</v>
      </c>
      <c r="E26" s="3">
        <v>15705000</v>
      </c>
      <c r="F26" s="3">
        <v>15705000</v>
      </c>
      <c r="G26" s="4">
        <v>0</v>
      </c>
      <c r="H26" s="3">
        <v>2239200</v>
      </c>
      <c r="I26" s="3">
        <v>1239200</v>
      </c>
      <c r="J26" s="3">
        <v>2239200</v>
      </c>
      <c r="K26" s="3">
        <v>1239200</v>
      </c>
      <c r="L26" s="3">
        <v>685200</v>
      </c>
      <c r="M26" s="3">
        <v>3010000</v>
      </c>
      <c r="N26" s="3">
        <v>3010000</v>
      </c>
      <c r="O26" s="3">
        <v>879000</v>
      </c>
      <c r="P26" s="3">
        <v>1164000</v>
      </c>
      <c r="Q26" s="4">
        <v>0</v>
      </c>
      <c r="R26" s="4">
        <v>0</v>
      </c>
      <c r="S26" s="28">
        <f t="shared" si="1"/>
        <v>0</v>
      </c>
      <c r="T26" s="28">
        <f t="shared" si="2"/>
        <v>45.885245901639344</v>
      </c>
      <c r="U26" s="28">
        <f t="shared" si="3"/>
        <v>25.393442622950818</v>
      </c>
      <c r="V26" s="28">
        <f t="shared" si="4"/>
        <v>45.885245901639344</v>
      </c>
      <c r="W26" s="28">
        <f t="shared" si="5"/>
        <v>25.393442622950818</v>
      </c>
      <c r="X26" s="28">
        <f t="shared" si="6"/>
        <v>14.040983606557377</v>
      </c>
      <c r="Y26" s="28">
        <f t="shared" si="7"/>
        <v>61.680327868852459</v>
      </c>
      <c r="Z26" s="28">
        <f t="shared" si="8"/>
        <v>61.680327868852459</v>
      </c>
      <c r="AA26" s="28">
        <f t="shared" si="9"/>
        <v>18.012295081967213</v>
      </c>
      <c r="AB26" s="28">
        <f t="shared" si="10"/>
        <v>23.852459016393443</v>
      </c>
      <c r="AC26" s="28">
        <f t="shared" si="11"/>
        <v>0</v>
      </c>
      <c r="AD26" s="28">
        <f t="shared" si="12"/>
        <v>0</v>
      </c>
    </row>
    <row r="27" spans="3:30" ht="24.75" x14ac:dyDescent="0.2">
      <c r="C27" s="78" t="s">
        <v>69</v>
      </c>
      <c r="D27" s="76" t="s">
        <v>70</v>
      </c>
      <c r="E27" s="77">
        <v>571051749</v>
      </c>
      <c r="F27" s="77">
        <v>571051749</v>
      </c>
      <c r="G27" s="79">
        <v>0</v>
      </c>
      <c r="H27" s="77">
        <v>528314666</v>
      </c>
      <c r="I27" s="77">
        <v>1200000</v>
      </c>
      <c r="J27" s="77">
        <v>2579200</v>
      </c>
      <c r="K27" s="77">
        <v>1200000</v>
      </c>
      <c r="L27" s="77">
        <v>1019600</v>
      </c>
      <c r="M27" s="77">
        <v>3010000</v>
      </c>
      <c r="N27" s="77">
        <v>2400000</v>
      </c>
      <c r="O27" s="77">
        <v>1606600</v>
      </c>
      <c r="P27" s="77">
        <v>29721683</v>
      </c>
      <c r="Q27" s="79">
        <v>0</v>
      </c>
      <c r="R27" s="79">
        <v>0</v>
      </c>
      <c r="S27" s="28">
        <f t="shared" si="1"/>
        <v>0</v>
      </c>
      <c r="T27" s="28">
        <f t="shared" si="2"/>
        <v>10826.120204918032</v>
      </c>
      <c r="U27" s="28">
        <f t="shared" si="3"/>
        <v>24.590163934426229</v>
      </c>
      <c r="V27" s="28">
        <f t="shared" si="4"/>
        <v>52.852459016393439</v>
      </c>
      <c r="W27" s="28">
        <f t="shared" si="5"/>
        <v>24.590163934426229</v>
      </c>
      <c r="X27" s="28">
        <f t="shared" si="6"/>
        <v>20.893442622950818</v>
      </c>
      <c r="Y27" s="28">
        <f t="shared" si="7"/>
        <v>61.680327868852459</v>
      </c>
      <c r="Z27" s="28">
        <f t="shared" si="8"/>
        <v>49.180327868852459</v>
      </c>
      <c r="AA27" s="28">
        <f t="shared" si="9"/>
        <v>32.922131147540981</v>
      </c>
      <c r="AB27" s="28">
        <f t="shared" si="10"/>
        <v>609.05088114754108</v>
      </c>
      <c r="AC27" s="28">
        <f t="shared" si="11"/>
        <v>0</v>
      </c>
      <c r="AD27" s="28">
        <f t="shared" si="12"/>
        <v>0</v>
      </c>
    </row>
    <row r="28" spans="3:30" x14ac:dyDescent="0.2">
      <c r="C28" s="80" t="s">
        <v>71</v>
      </c>
      <c r="D28" s="80" t="s">
        <v>72</v>
      </c>
      <c r="E28" s="82">
        <v>555346749</v>
      </c>
      <c r="F28" s="82">
        <v>555346749</v>
      </c>
      <c r="G28" s="81">
        <v>0</v>
      </c>
      <c r="H28" s="82">
        <v>526075466</v>
      </c>
      <c r="I28" s="81">
        <v>0</v>
      </c>
      <c r="J28" s="81">
        <v>0</v>
      </c>
      <c r="K28" s="81">
        <v>0</v>
      </c>
      <c r="L28" s="81">
        <v>0</v>
      </c>
      <c r="M28" s="81">
        <v>0</v>
      </c>
      <c r="N28" s="81">
        <v>0</v>
      </c>
      <c r="O28" s="81">
        <v>0</v>
      </c>
      <c r="P28" s="82">
        <v>29271283</v>
      </c>
      <c r="Q28" s="81">
        <v>0</v>
      </c>
      <c r="R28" s="81">
        <v>0</v>
      </c>
      <c r="S28" s="28">
        <f t="shared" si="1"/>
        <v>0</v>
      </c>
      <c r="T28" s="28">
        <f t="shared" si="2"/>
        <v>10780.234959016392</v>
      </c>
      <c r="U28" s="28">
        <f t="shared" si="3"/>
        <v>0</v>
      </c>
      <c r="V28" s="28">
        <f t="shared" si="4"/>
        <v>0</v>
      </c>
      <c r="W28" s="28">
        <f t="shared" si="5"/>
        <v>0</v>
      </c>
      <c r="X28" s="28">
        <f t="shared" si="6"/>
        <v>0</v>
      </c>
      <c r="Y28" s="28">
        <f t="shared" si="7"/>
        <v>0</v>
      </c>
      <c r="Z28" s="28">
        <f t="shared" si="8"/>
        <v>0</v>
      </c>
      <c r="AA28" s="28">
        <f t="shared" si="9"/>
        <v>0</v>
      </c>
      <c r="AB28" s="28">
        <f t="shared" si="10"/>
        <v>599.82137295081964</v>
      </c>
      <c r="AC28" s="28">
        <f t="shared" si="11"/>
        <v>0</v>
      </c>
      <c r="AD28" s="28">
        <f t="shared" si="12"/>
        <v>0</v>
      </c>
    </row>
    <row r="29" spans="3:30" ht="16.5" x14ac:dyDescent="0.2">
      <c r="C29" s="2" t="s">
        <v>73</v>
      </c>
      <c r="D29" s="76" t="s">
        <v>74</v>
      </c>
      <c r="E29" s="3">
        <v>15705000</v>
      </c>
      <c r="F29" s="3">
        <v>15705000</v>
      </c>
      <c r="G29" s="4">
        <v>0</v>
      </c>
      <c r="H29" s="3">
        <v>2239200</v>
      </c>
      <c r="I29" s="3">
        <v>1200000</v>
      </c>
      <c r="J29" s="3">
        <v>2579200</v>
      </c>
      <c r="K29" s="3">
        <v>1200000</v>
      </c>
      <c r="L29" s="3">
        <v>1019600</v>
      </c>
      <c r="M29" s="3">
        <v>3010000</v>
      </c>
      <c r="N29" s="3">
        <v>2400000</v>
      </c>
      <c r="O29" s="3">
        <v>1606600</v>
      </c>
      <c r="P29" s="3">
        <v>450400</v>
      </c>
      <c r="Q29" s="4">
        <v>0</v>
      </c>
      <c r="R29" s="4">
        <v>0</v>
      </c>
      <c r="S29" s="28">
        <f t="shared" si="1"/>
        <v>0</v>
      </c>
      <c r="T29" s="28">
        <f t="shared" si="2"/>
        <v>45.885245901639344</v>
      </c>
      <c r="U29" s="28">
        <f t="shared" si="3"/>
        <v>24.590163934426229</v>
      </c>
      <c r="V29" s="28">
        <f t="shared" si="4"/>
        <v>52.852459016393439</v>
      </c>
      <c r="W29" s="28">
        <f t="shared" si="5"/>
        <v>24.590163934426229</v>
      </c>
      <c r="X29" s="28">
        <f t="shared" si="6"/>
        <v>20.893442622950818</v>
      </c>
      <c r="Y29" s="28">
        <f t="shared" si="7"/>
        <v>61.680327868852459</v>
      </c>
      <c r="Z29" s="28">
        <f t="shared" si="8"/>
        <v>49.180327868852459</v>
      </c>
      <c r="AA29" s="28">
        <f t="shared" si="9"/>
        <v>32.922131147540981</v>
      </c>
      <c r="AB29" s="28">
        <f t="shared" si="10"/>
        <v>9.2295081967213122</v>
      </c>
      <c r="AC29" s="28">
        <f t="shared" si="11"/>
        <v>0</v>
      </c>
      <c r="AD29" s="28">
        <f t="shared" si="12"/>
        <v>0</v>
      </c>
    </row>
    <row r="30" spans="3:30" ht="24.75" x14ac:dyDescent="0.2">
      <c r="C30" s="78" t="s">
        <v>75</v>
      </c>
      <c r="D30" s="76" t="s">
        <v>76</v>
      </c>
      <c r="E30" s="77">
        <v>25750000</v>
      </c>
      <c r="F30" s="77">
        <v>25750000</v>
      </c>
      <c r="G30" s="79">
        <v>0</v>
      </c>
      <c r="H30" s="79">
        <v>0</v>
      </c>
      <c r="I30" s="79">
        <v>0</v>
      </c>
      <c r="J30" s="77">
        <v>2500000</v>
      </c>
      <c r="K30" s="79">
        <v>0</v>
      </c>
      <c r="L30" s="79">
        <v>0</v>
      </c>
      <c r="M30" s="79">
        <v>0</v>
      </c>
      <c r="N30" s="79">
        <v>0</v>
      </c>
      <c r="O30" s="79">
        <v>0</v>
      </c>
      <c r="P30" s="77">
        <v>23250000</v>
      </c>
      <c r="Q30" s="79">
        <v>0</v>
      </c>
      <c r="R30" s="79">
        <v>0</v>
      </c>
      <c r="S30" s="28">
        <f t="shared" si="1"/>
        <v>0</v>
      </c>
      <c r="T30" s="28">
        <f t="shared" si="2"/>
        <v>0</v>
      </c>
      <c r="U30" s="28">
        <f t="shared" si="3"/>
        <v>0</v>
      </c>
      <c r="V30" s="28">
        <f t="shared" si="4"/>
        <v>51.229508196721305</v>
      </c>
      <c r="W30" s="28">
        <f t="shared" si="5"/>
        <v>0</v>
      </c>
      <c r="X30" s="28">
        <f t="shared" si="6"/>
        <v>0</v>
      </c>
      <c r="Y30" s="28">
        <f t="shared" si="7"/>
        <v>0</v>
      </c>
      <c r="Z30" s="28">
        <f t="shared" si="8"/>
        <v>0</v>
      </c>
      <c r="AA30" s="28">
        <f t="shared" si="9"/>
        <v>0</v>
      </c>
      <c r="AB30" s="28">
        <f t="shared" si="10"/>
        <v>476.43442622950818</v>
      </c>
      <c r="AC30" s="28">
        <f t="shared" si="11"/>
        <v>0</v>
      </c>
      <c r="AD30" s="28">
        <f t="shared" si="12"/>
        <v>0</v>
      </c>
    </row>
    <row r="31" spans="3:30" ht="16.5" x14ac:dyDescent="0.2">
      <c r="C31" s="2" t="s">
        <v>77</v>
      </c>
      <c r="D31" s="76" t="s">
        <v>78</v>
      </c>
      <c r="E31" s="3">
        <v>25750000</v>
      </c>
      <c r="F31" s="3">
        <v>25750000</v>
      </c>
      <c r="G31" s="4">
        <v>0</v>
      </c>
      <c r="H31" s="4">
        <v>0</v>
      </c>
      <c r="I31" s="4">
        <v>0</v>
      </c>
      <c r="J31" s="3">
        <v>2500000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3">
        <v>23250000</v>
      </c>
      <c r="Q31" s="4">
        <v>0</v>
      </c>
      <c r="R31" s="4">
        <v>0</v>
      </c>
      <c r="S31" s="28">
        <f t="shared" si="1"/>
        <v>0</v>
      </c>
      <c r="T31" s="28">
        <f t="shared" si="2"/>
        <v>0</v>
      </c>
      <c r="U31" s="28">
        <f t="shared" si="3"/>
        <v>0</v>
      </c>
      <c r="V31" s="28">
        <f t="shared" si="4"/>
        <v>51.229508196721305</v>
      </c>
      <c r="W31" s="28">
        <f t="shared" si="5"/>
        <v>0</v>
      </c>
      <c r="X31" s="28">
        <f t="shared" si="6"/>
        <v>0</v>
      </c>
      <c r="Y31" s="28">
        <f t="shared" si="7"/>
        <v>0</v>
      </c>
      <c r="Z31" s="28">
        <f t="shared" si="8"/>
        <v>0</v>
      </c>
      <c r="AA31" s="28">
        <f t="shared" si="9"/>
        <v>0</v>
      </c>
      <c r="AB31" s="28">
        <f t="shared" si="10"/>
        <v>476.43442622950818</v>
      </c>
      <c r="AC31" s="28">
        <f t="shared" si="11"/>
        <v>0</v>
      </c>
      <c r="AD31" s="28">
        <f t="shared" si="12"/>
        <v>0</v>
      </c>
    </row>
    <row r="32" spans="3:30" ht="16.5" x14ac:dyDescent="0.2">
      <c r="C32" s="60" t="s">
        <v>79</v>
      </c>
      <c r="D32" s="60" t="s">
        <v>80</v>
      </c>
      <c r="E32" s="61">
        <v>6027640775</v>
      </c>
      <c r="F32" s="61">
        <v>6027640775</v>
      </c>
      <c r="G32" s="61">
        <v>280181362</v>
      </c>
      <c r="H32" s="61">
        <v>620528612</v>
      </c>
      <c r="I32" s="61">
        <v>509469162</v>
      </c>
      <c r="J32" s="61">
        <v>1296119222</v>
      </c>
      <c r="K32" s="61">
        <v>286408155</v>
      </c>
      <c r="L32" s="61">
        <v>108212850</v>
      </c>
      <c r="M32" s="61">
        <v>509763744</v>
      </c>
      <c r="N32" s="61">
        <v>301864275</v>
      </c>
      <c r="O32" s="61">
        <v>40000000</v>
      </c>
      <c r="P32" s="61">
        <v>1099081675</v>
      </c>
      <c r="Q32" s="61">
        <v>976011718</v>
      </c>
      <c r="R32" s="62">
        <v>0</v>
      </c>
      <c r="S32" s="28">
        <f t="shared" si="1"/>
        <v>5741.4213524590168</v>
      </c>
      <c r="T32" s="28">
        <f t="shared" si="2"/>
        <v>12715.75024590164</v>
      </c>
      <c r="U32" s="28">
        <f t="shared" si="3"/>
        <v>10439.941844262294</v>
      </c>
      <c r="V32" s="28">
        <f t="shared" si="4"/>
        <v>26559.820122950823</v>
      </c>
      <c r="W32" s="28">
        <f t="shared" si="5"/>
        <v>5869.0195696721312</v>
      </c>
      <c r="X32" s="28">
        <f t="shared" si="6"/>
        <v>2217.4764344262298</v>
      </c>
      <c r="Y32" s="28">
        <f t="shared" si="7"/>
        <v>10445.978360655738</v>
      </c>
      <c r="Z32" s="28">
        <f t="shared" si="8"/>
        <v>6185.7433401639337</v>
      </c>
      <c r="AA32" s="28">
        <f t="shared" si="9"/>
        <v>819.67213114754088</v>
      </c>
      <c r="AB32" s="28">
        <f t="shared" si="10"/>
        <v>22522.165471311477</v>
      </c>
      <c r="AC32" s="28">
        <f t="shared" si="11"/>
        <v>20000.240122950818</v>
      </c>
      <c r="AD32" s="28">
        <f t="shared" si="12"/>
        <v>0</v>
      </c>
    </row>
    <row r="33" spans="3:30" ht="16.5" x14ac:dyDescent="0.2">
      <c r="C33" s="2" t="s">
        <v>81</v>
      </c>
      <c r="D33" s="76" t="s">
        <v>82</v>
      </c>
      <c r="E33" s="3">
        <v>73408600</v>
      </c>
      <c r="F33" s="3">
        <v>73408600</v>
      </c>
      <c r="G33" s="4">
        <v>0</v>
      </c>
      <c r="H33" s="3">
        <v>10000000</v>
      </c>
      <c r="I33" s="3">
        <v>10000000</v>
      </c>
      <c r="J33" s="3">
        <v>19124160</v>
      </c>
      <c r="K33" s="4">
        <v>0</v>
      </c>
      <c r="L33" s="4">
        <v>0</v>
      </c>
      <c r="M33" s="3">
        <v>15875840</v>
      </c>
      <c r="N33" s="3">
        <v>13414800</v>
      </c>
      <c r="O33" s="4">
        <v>0</v>
      </c>
      <c r="P33" s="4">
        <v>0</v>
      </c>
      <c r="Q33" s="3">
        <v>4993800</v>
      </c>
      <c r="R33" s="4">
        <v>0</v>
      </c>
      <c r="S33" s="28">
        <f t="shared" si="1"/>
        <v>0</v>
      </c>
      <c r="T33" s="28">
        <f t="shared" si="2"/>
        <v>204.91803278688522</v>
      </c>
      <c r="U33" s="28">
        <f t="shared" si="3"/>
        <v>204.91803278688522</v>
      </c>
      <c r="V33" s="28">
        <f t="shared" si="4"/>
        <v>391.88852459016397</v>
      </c>
      <c r="W33" s="28">
        <f t="shared" si="5"/>
        <v>0</v>
      </c>
      <c r="X33" s="28">
        <f t="shared" si="6"/>
        <v>0</v>
      </c>
      <c r="Y33" s="28">
        <f t="shared" si="7"/>
        <v>325.32459016393443</v>
      </c>
      <c r="Z33" s="28">
        <f t="shared" si="8"/>
        <v>274.89344262295083</v>
      </c>
      <c r="AA33" s="28">
        <f t="shared" si="9"/>
        <v>0</v>
      </c>
      <c r="AB33" s="28">
        <f t="shared" si="10"/>
        <v>0</v>
      </c>
      <c r="AC33" s="28">
        <f t="shared" si="11"/>
        <v>102.33196721311475</v>
      </c>
      <c r="AD33" s="28">
        <f t="shared" si="12"/>
        <v>0</v>
      </c>
    </row>
    <row r="34" spans="3:30" ht="16.5" x14ac:dyDescent="0.2">
      <c r="C34" s="2" t="s">
        <v>83</v>
      </c>
      <c r="D34" s="76" t="s">
        <v>84</v>
      </c>
      <c r="E34" s="3">
        <v>1005526750</v>
      </c>
      <c r="F34" s="3">
        <v>1005526750</v>
      </c>
      <c r="G34" s="4">
        <v>0</v>
      </c>
      <c r="H34" s="3">
        <v>98300000</v>
      </c>
      <c r="I34" s="3">
        <v>30000000</v>
      </c>
      <c r="J34" s="3">
        <v>76319000</v>
      </c>
      <c r="K34" s="3">
        <v>22600000</v>
      </c>
      <c r="L34" s="4">
        <v>0</v>
      </c>
      <c r="M34" s="3">
        <v>249298750</v>
      </c>
      <c r="N34" s="4">
        <v>0</v>
      </c>
      <c r="O34" s="4">
        <v>0</v>
      </c>
      <c r="P34" s="3">
        <v>232909000</v>
      </c>
      <c r="Q34" s="3">
        <v>296100000</v>
      </c>
      <c r="R34" s="4">
        <v>0</v>
      </c>
      <c r="S34" s="28">
        <f t="shared" si="1"/>
        <v>0</v>
      </c>
      <c r="T34" s="28">
        <f t="shared" si="2"/>
        <v>2014.3442622950818</v>
      </c>
      <c r="U34" s="28">
        <f t="shared" si="3"/>
        <v>614.75409836065569</v>
      </c>
      <c r="V34" s="28">
        <f t="shared" si="4"/>
        <v>1563.9139344262296</v>
      </c>
      <c r="W34" s="28">
        <f t="shared" si="5"/>
        <v>463.11475409836066</v>
      </c>
      <c r="X34" s="28">
        <f t="shared" si="6"/>
        <v>0</v>
      </c>
      <c r="Y34" s="28">
        <f t="shared" si="7"/>
        <v>5108.5809426229507</v>
      </c>
      <c r="Z34" s="28">
        <f t="shared" si="8"/>
        <v>0</v>
      </c>
      <c r="AA34" s="28">
        <f t="shared" si="9"/>
        <v>0</v>
      </c>
      <c r="AB34" s="28">
        <f t="shared" si="10"/>
        <v>4772.7254098360654</v>
      </c>
      <c r="AC34" s="28">
        <f t="shared" si="11"/>
        <v>6067.622950819672</v>
      </c>
      <c r="AD34" s="28">
        <f t="shared" si="12"/>
        <v>0</v>
      </c>
    </row>
    <row r="35" spans="3:30" x14ac:dyDescent="0.2">
      <c r="C35" s="80" t="s">
        <v>85</v>
      </c>
      <c r="D35" s="80" t="s">
        <v>86</v>
      </c>
      <c r="E35" s="82">
        <v>1305599035</v>
      </c>
      <c r="F35" s="82">
        <v>1305599035</v>
      </c>
      <c r="G35" s="81">
        <v>0</v>
      </c>
      <c r="H35" s="81">
        <v>0</v>
      </c>
      <c r="I35" s="82">
        <v>89287800</v>
      </c>
      <c r="J35" s="82">
        <v>719296350</v>
      </c>
      <c r="K35" s="81">
        <v>0</v>
      </c>
      <c r="L35" s="81">
        <v>0</v>
      </c>
      <c r="M35" s="82">
        <v>55002510</v>
      </c>
      <c r="N35" s="81">
        <v>0</v>
      </c>
      <c r="O35" s="81">
        <v>0</v>
      </c>
      <c r="P35" s="82">
        <v>340963000</v>
      </c>
      <c r="Q35" s="82">
        <v>101049375</v>
      </c>
      <c r="R35" s="81">
        <v>0</v>
      </c>
      <c r="S35" s="28">
        <f t="shared" si="1"/>
        <v>0</v>
      </c>
      <c r="T35" s="28">
        <f t="shared" si="2"/>
        <v>0</v>
      </c>
      <c r="U35" s="28">
        <f t="shared" si="3"/>
        <v>1829.6680327868853</v>
      </c>
      <c r="V35" s="28">
        <f t="shared" si="4"/>
        <v>14739.679303278688</v>
      </c>
      <c r="W35" s="28">
        <f t="shared" si="5"/>
        <v>0</v>
      </c>
      <c r="X35" s="28">
        <f t="shared" si="6"/>
        <v>0</v>
      </c>
      <c r="Y35" s="28">
        <f t="shared" si="7"/>
        <v>1127.1006147540984</v>
      </c>
      <c r="Z35" s="28">
        <f t="shared" si="8"/>
        <v>0</v>
      </c>
      <c r="AA35" s="28">
        <f t="shared" si="9"/>
        <v>0</v>
      </c>
      <c r="AB35" s="28">
        <f t="shared" si="10"/>
        <v>6986.9467213114758</v>
      </c>
      <c r="AC35" s="28">
        <f t="shared" si="11"/>
        <v>2070.6839139344261</v>
      </c>
      <c r="AD35" s="28">
        <f t="shared" si="12"/>
        <v>0</v>
      </c>
    </row>
    <row r="36" spans="3:30" x14ac:dyDescent="0.2">
      <c r="C36" s="80" t="s">
        <v>87</v>
      </c>
      <c r="D36" s="80" t="s">
        <v>88</v>
      </c>
      <c r="E36" s="82">
        <v>649841300</v>
      </c>
      <c r="F36" s="82">
        <v>649841300</v>
      </c>
      <c r="G36" s="81">
        <v>0</v>
      </c>
      <c r="H36" s="82">
        <v>113147250</v>
      </c>
      <c r="I36" s="81">
        <v>0</v>
      </c>
      <c r="J36" s="82">
        <v>81448350</v>
      </c>
      <c r="K36" s="82">
        <v>23605800</v>
      </c>
      <c r="L36" s="82">
        <v>36589450</v>
      </c>
      <c r="M36" s="81">
        <v>0</v>
      </c>
      <c r="N36" s="82">
        <v>124983075</v>
      </c>
      <c r="O36" s="81">
        <v>0</v>
      </c>
      <c r="P36" s="82">
        <v>117483075</v>
      </c>
      <c r="Q36" s="82">
        <v>152584300</v>
      </c>
      <c r="R36" s="81">
        <v>0</v>
      </c>
      <c r="S36" s="28">
        <f t="shared" si="1"/>
        <v>0</v>
      </c>
      <c r="T36" s="28">
        <f t="shared" si="2"/>
        <v>2318.5911885245901</v>
      </c>
      <c r="U36" s="28">
        <f t="shared" si="3"/>
        <v>0</v>
      </c>
      <c r="V36" s="28">
        <f t="shared" si="4"/>
        <v>1669.0235655737706</v>
      </c>
      <c r="W36" s="28">
        <f t="shared" si="5"/>
        <v>483.72540983606552</v>
      </c>
      <c r="X36" s="28">
        <f t="shared" si="6"/>
        <v>749.78381147540983</v>
      </c>
      <c r="Y36" s="28">
        <f t="shared" si="7"/>
        <v>0</v>
      </c>
      <c r="Z36" s="28">
        <f t="shared" si="8"/>
        <v>2561.1285860655739</v>
      </c>
      <c r="AA36" s="28">
        <f t="shared" si="9"/>
        <v>0</v>
      </c>
      <c r="AB36" s="28">
        <f t="shared" si="10"/>
        <v>2407.4400614754095</v>
      </c>
      <c r="AC36" s="28">
        <f t="shared" si="11"/>
        <v>3126.7274590163934</v>
      </c>
      <c r="AD36" s="28">
        <f t="shared" si="12"/>
        <v>0</v>
      </c>
    </row>
    <row r="37" spans="3:30" x14ac:dyDescent="0.2">
      <c r="C37" s="80" t="s">
        <v>89</v>
      </c>
      <c r="D37" s="80" t="s">
        <v>90</v>
      </c>
      <c r="E37" s="82">
        <v>136369000</v>
      </c>
      <c r="F37" s="82">
        <v>136369000</v>
      </c>
      <c r="G37" s="81">
        <v>0</v>
      </c>
      <c r="H37" s="82">
        <v>18900000</v>
      </c>
      <c r="I37" s="81">
        <v>0</v>
      </c>
      <c r="J37" s="82">
        <v>18900000</v>
      </c>
      <c r="K37" s="81">
        <v>0</v>
      </c>
      <c r="L37" s="81">
        <v>0</v>
      </c>
      <c r="M37" s="81">
        <v>0</v>
      </c>
      <c r="N37" s="82">
        <v>20700000</v>
      </c>
      <c r="O37" s="81">
        <v>0</v>
      </c>
      <c r="P37" s="82">
        <v>20700000</v>
      </c>
      <c r="Q37" s="82">
        <v>57169000</v>
      </c>
      <c r="R37" s="81">
        <v>0</v>
      </c>
      <c r="S37" s="28">
        <f t="shared" si="1"/>
        <v>0</v>
      </c>
      <c r="T37" s="28">
        <f t="shared" si="2"/>
        <v>387.29508196721309</v>
      </c>
      <c r="U37" s="28">
        <f t="shared" si="3"/>
        <v>0</v>
      </c>
      <c r="V37" s="28">
        <f t="shared" si="4"/>
        <v>387.29508196721309</v>
      </c>
      <c r="W37" s="28">
        <f t="shared" si="5"/>
        <v>0</v>
      </c>
      <c r="X37" s="28">
        <f t="shared" si="6"/>
        <v>0</v>
      </c>
      <c r="Y37" s="28">
        <f t="shared" si="7"/>
        <v>0</v>
      </c>
      <c r="Z37" s="28">
        <f t="shared" si="8"/>
        <v>424.18032786885249</v>
      </c>
      <c r="AA37" s="28">
        <f t="shared" si="9"/>
        <v>0</v>
      </c>
      <c r="AB37" s="28">
        <f t="shared" si="10"/>
        <v>424.18032786885249</v>
      </c>
      <c r="AC37" s="28">
        <f t="shared" si="11"/>
        <v>1171.4959016393443</v>
      </c>
      <c r="AD37" s="28">
        <f t="shared" si="12"/>
        <v>0</v>
      </c>
    </row>
    <row r="38" spans="3:30" ht="16.5" x14ac:dyDescent="0.2">
      <c r="C38" s="2" t="s">
        <v>91</v>
      </c>
      <c r="D38" s="76" t="s">
        <v>92</v>
      </c>
      <c r="E38" s="3">
        <v>22400000</v>
      </c>
      <c r="F38" s="3">
        <v>22400000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3">
        <v>12400000</v>
      </c>
      <c r="N38" s="4">
        <v>0</v>
      </c>
      <c r="O38" s="4">
        <v>0</v>
      </c>
      <c r="P38" s="3">
        <v>10000000</v>
      </c>
      <c r="Q38" s="4">
        <v>0</v>
      </c>
      <c r="R38" s="4">
        <v>0</v>
      </c>
      <c r="S38" s="28">
        <f t="shared" si="1"/>
        <v>0</v>
      </c>
      <c r="T38" s="28">
        <f t="shared" si="2"/>
        <v>0</v>
      </c>
      <c r="U38" s="28">
        <f t="shared" si="3"/>
        <v>0</v>
      </c>
      <c r="V38" s="28">
        <f t="shared" si="4"/>
        <v>0</v>
      </c>
      <c r="W38" s="28">
        <f t="shared" si="5"/>
        <v>0</v>
      </c>
      <c r="X38" s="28">
        <f t="shared" si="6"/>
        <v>0</v>
      </c>
      <c r="Y38" s="28">
        <f t="shared" si="7"/>
        <v>254.09836065573771</v>
      </c>
      <c r="Z38" s="28">
        <f t="shared" si="8"/>
        <v>0</v>
      </c>
      <c r="AA38" s="28">
        <f t="shared" si="9"/>
        <v>0</v>
      </c>
      <c r="AB38" s="28">
        <f t="shared" si="10"/>
        <v>204.91803278688522</v>
      </c>
      <c r="AC38" s="28">
        <f t="shared" si="11"/>
        <v>0</v>
      </c>
      <c r="AD38" s="28">
        <f t="shared" si="12"/>
        <v>0</v>
      </c>
    </row>
    <row r="39" spans="3:30" ht="16.5" x14ac:dyDescent="0.2">
      <c r="C39" s="2" t="s">
        <v>93</v>
      </c>
      <c r="D39" s="76" t="s">
        <v>94</v>
      </c>
      <c r="E39" s="3">
        <v>2820526090</v>
      </c>
      <c r="F39" s="3">
        <v>2820526090</v>
      </c>
      <c r="G39" s="3">
        <v>280181362</v>
      </c>
      <c r="H39" s="3">
        <v>380181362</v>
      </c>
      <c r="I39" s="3">
        <v>380181362</v>
      </c>
      <c r="J39" s="3">
        <v>380181362</v>
      </c>
      <c r="K39" s="3">
        <v>238998755</v>
      </c>
      <c r="L39" s="3">
        <v>70000000</v>
      </c>
      <c r="M39" s="3">
        <v>171686644</v>
      </c>
      <c r="N39" s="3">
        <v>140000000</v>
      </c>
      <c r="O39" s="3">
        <v>40000000</v>
      </c>
      <c r="P39" s="3">
        <v>375000000</v>
      </c>
      <c r="Q39" s="3">
        <v>364115243</v>
      </c>
      <c r="R39" s="4">
        <v>0</v>
      </c>
      <c r="S39" s="28">
        <f t="shared" si="1"/>
        <v>5741.4213524590168</v>
      </c>
      <c r="T39" s="28">
        <f t="shared" si="2"/>
        <v>7790.601680327869</v>
      </c>
      <c r="U39" s="28">
        <f t="shared" si="3"/>
        <v>7790.601680327869</v>
      </c>
      <c r="V39" s="28">
        <f t="shared" si="4"/>
        <v>7790.601680327869</v>
      </c>
      <c r="W39" s="28">
        <f t="shared" si="5"/>
        <v>4897.5154713114753</v>
      </c>
      <c r="X39" s="28">
        <f t="shared" si="6"/>
        <v>1434.4262295081967</v>
      </c>
      <c r="Y39" s="28">
        <f t="shared" si="7"/>
        <v>3518.1689344262295</v>
      </c>
      <c r="Z39" s="28">
        <f t="shared" si="8"/>
        <v>2868.8524590163934</v>
      </c>
      <c r="AA39" s="28">
        <f t="shared" si="9"/>
        <v>819.67213114754088</v>
      </c>
      <c r="AB39" s="28">
        <f t="shared" si="10"/>
        <v>7684.4262295081962</v>
      </c>
      <c r="AC39" s="28">
        <f t="shared" si="11"/>
        <v>7461.3779303278689</v>
      </c>
      <c r="AD39" s="28">
        <f t="shared" si="12"/>
        <v>0</v>
      </c>
    </row>
    <row r="40" spans="3:30" x14ac:dyDescent="0.2">
      <c r="C40" s="80" t="s">
        <v>95</v>
      </c>
      <c r="D40" s="80" t="s">
        <v>96</v>
      </c>
      <c r="E40" s="82">
        <v>13970000</v>
      </c>
      <c r="F40" s="82">
        <v>13970000</v>
      </c>
      <c r="G40" s="81">
        <v>0</v>
      </c>
      <c r="H40" s="81">
        <v>0</v>
      </c>
      <c r="I40" s="81">
        <v>0</v>
      </c>
      <c r="J40" s="82">
        <v>850000</v>
      </c>
      <c r="K40" s="82">
        <v>1203600</v>
      </c>
      <c r="L40" s="82">
        <v>1623400</v>
      </c>
      <c r="M40" s="82">
        <v>5500000</v>
      </c>
      <c r="N40" s="82">
        <v>2766400</v>
      </c>
      <c r="O40" s="81">
        <v>0</v>
      </c>
      <c r="P40" s="82">
        <v>2026600</v>
      </c>
      <c r="Q40" s="81">
        <v>0</v>
      </c>
      <c r="R40" s="81">
        <v>0</v>
      </c>
      <c r="S40" s="28">
        <f t="shared" si="1"/>
        <v>0</v>
      </c>
      <c r="T40" s="28">
        <f t="shared" si="2"/>
        <v>0</v>
      </c>
      <c r="U40" s="28">
        <f t="shared" si="3"/>
        <v>0</v>
      </c>
      <c r="V40" s="28">
        <f t="shared" si="4"/>
        <v>17.418032786885245</v>
      </c>
      <c r="W40" s="28">
        <f t="shared" si="5"/>
        <v>24.66393442622951</v>
      </c>
      <c r="X40" s="28">
        <f t="shared" si="6"/>
        <v>33.266393442622949</v>
      </c>
      <c r="Y40" s="28">
        <f t="shared" si="7"/>
        <v>112.70491803278688</v>
      </c>
      <c r="Z40" s="28">
        <f t="shared" si="8"/>
        <v>56.688524590163937</v>
      </c>
      <c r="AA40" s="28">
        <f t="shared" si="9"/>
        <v>0</v>
      </c>
      <c r="AB40" s="28">
        <f t="shared" si="10"/>
        <v>41.528688524590166</v>
      </c>
      <c r="AC40" s="28">
        <f t="shared" si="11"/>
        <v>0</v>
      </c>
      <c r="AD40" s="28">
        <f t="shared" si="12"/>
        <v>0</v>
      </c>
    </row>
    <row r="41" spans="3:30" ht="24.75" x14ac:dyDescent="0.2">
      <c r="C41" s="78" t="s">
        <v>97</v>
      </c>
      <c r="D41" s="76" t="s">
        <v>98</v>
      </c>
      <c r="E41" s="77">
        <v>9015401627</v>
      </c>
      <c r="F41" s="77">
        <v>9015401627</v>
      </c>
      <c r="G41" s="79">
        <v>0</v>
      </c>
      <c r="H41" s="79">
        <v>0</v>
      </c>
      <c r="I41" s="79">
        <v>0</v>
      </c>
      <c r="J41" s="77">
        <v>6170400000</v>
      </c>
      <c r="K41" s="79">
        <v>0</v>
      </c>
      <c r="L41" s="79">
        <v>0</v>
      </c>
      <c r="M41" s="77">
        <v>528137700</v>
      </c>
      <c r="N41" s="77">
        <v>13665000</v>
      </c>
      <c r="O41" s="77">
        <v>48975000</v>
      </c>
      <c r="P41" s="77">
        <v>863469522</v>
      </c>
      <c r="Q41" s="77">
        <v>1390754405</v>
      </c>
      <c r="R41" s="79">
        <v>0</v>
      </c>
      <c r="S41" s="28">
        <f t="shared" si="1"/>
        <v>0</v>
      </c>
      <c r="T41" s="28">
        <f t="shared" si="2"/>
        <v>0</v>
      </c>
      <c r="U41" s="28">
        <f t="shared" si="3"/>
        <v>0</v>
      </c>
      <c r="V41" s="28">
        <f t="shared" si="4"/>
        <v>126442.62295081967</v>
      </c>
      <c r="W41" s="28">
        <f t="shared" si="5"/>
        <v>0</v>
      </c>
      <c r="X41" s="28">
        <f t="shared" si="6"/>
        <v>0</v>
      </c>
      <c r="Y41" s="28">
        <f t="shared" si="7"/>
        <v>10822.493852459016</v>
      </c>
      <c r="Z41" s="28">
        <f t="shared" si="8"/>
        <v>280.02049180327873</v>
      </c>
      <c r="AA41" s="28">
        <f t="shared" si="9"/>
        <v>1003.5860655737705</v>
      </c>
      <c r="AB41" s="28">
        <f t="shared" si="10"/>
        <v>17694.047581967214</v>
      </c>
      <c r="AC41" s="28">
        <f t="shared" si="11"/>
        <v>28499.065676229508</v>
      </c>
      <c r="AD41" s="28">
        <f t="shared" si="12"/>
        <v>0</v>
      </c>
    </row>
  </sheetData>
  <mergeCells count="32">
    <mergeCell ref="C13:D13"/>
    <mergeCell ref="G13:L13"/>
    <mergeCell ref="M13:R13"/>
    <mergeCell ref="C15:R15"/>
    <mergeCell ref="C7:R7"/>
    <mergeCell ref="C11:D11"/>
    <mergeCell ref="C12:D12"/>
    <mergeCell ref="G12:I12"/>
    <mergeCell ref="J12:L12"/>
    <mergeCell ref="M12:O12"/>
    <mergeCell ref="P12:R12"/>
    <mergeCell ref="B3:B5"/>
    <mergeCell ref="B1:R1"/>
    <mergeCell ref="A3:A5"/>
    <mergeCell ref="G2:R2"/>
    <mergeCell ref="S2:AD2"/>
    <mergeCell ref="S3:X3"/>
    <mergeCell ref="Y3:AD3"/>
    <mergeCell ref="S4:U4"/>
    <mergeCell ref="V4:X4"/>
    <mergeCell ref="Y4:AA4"/>
    <mergeCell ref="AB4:AD4"/>
    <mergeCell ref="C3:C5"/>
    <mergeCell ref="D3:D5"/>
    <mergeCell ref="E3:E5"/>
    <mergeCell ref="F3:F5"/>
    <mergeCell ref="G3:L3"/>
    <mergeCell ref="M3:R3"/>
    <mergeCell ref="G4:I4"/>
    <mergeCell ref="J4:L4"/>
    <mergeCell ref="M4:O4"/>
    <mergeCell ref="P4:R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1"/>
  <sheetViews>
    <sheetView tabSelected="1" zoomScale="115" zoomScaleNormal="115" workbookViewId="0">
      <selection activeCell="D2" sqref="D2"/>
    </sheetView>
  </sheetViews>
  <sheetFormatPr defaultRowHeight="12.75" x14ac:dyDescent="0.2"/>
  <cols>
    <col min="1" max="1" width="5.6640625" customWidth="1"/>
    <col min="3" max="3" width="15.83203125" customWidth="1"/>
    <col min="4" max="4" width="26.83203125" customWidth="1"/>
    <col min="5" max="6" width="13.33203125" customWidth="1"/>
    <col min="7" max="7" width="12.6640625" customWidth="1"/>
    <col min="8" max="9" width="12.83203125" customWidth="1"/>
    <col min="10" max="10" width="12.6640625" customWidth="1"/>
    <col min="11" max="12" width="12.83203125" customWidth="1"/>
    <col min="13" max="13" width="12.6640625" customWidth="1"/>
    <col min="14" max="15" width="12.83203125" customWidth="1"/>
    <col min="16" max="16" width="12.6640625" customWidth="1"/>
    <col min="17" max="18" width="12.83203125" customWidth="1"/>
    <col min="19" max="29" width="5.83203125" customWidth="1"/>
    <col min="30" max="30" width="7.1640625" customWidth="1"/>
  </cols>
  <sheetData>
    <row r="1" spans="1:30" ht="12.6" customHeight="1" x14ac:dyDescent="0.2">
      <c r="B1" s="50" t="s">
        <v>1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1"/>
      <c r="S1" s="10"/>
    </row>
    <row r="2" spans="1:30" ht="12.6" customHeight="1" x14ac:dyDescent="0.2">
      <c r="B2" s="27"/>
      <c r="C2" s="27"/>
      <c r="D2" s="27"/>
      <c r="E2" s="27"/>
      <c r="F2" s="27"/>
      <c r="G2" s="52" t="s">
        <v>29</v>
      </c>
      <c r="H2" s="52"/>
      <c r="I2" s="52"/>
      <c r="J2" s="52"/>
      <c r="K2" s="52"/>
      <c r="L2" s="52"/>
      <c r="M2" s="52"/>
      <c r="N2" s="52"/>
      <c r="O2" s="52"/>
      <c r="P2" s="52"/>
      <c r="Q2" s="52"/>
      <c r="R2" s="53"/>
      <c r="S2" s="52" t="s">
        <v>30</v>
      </c>
      <c r="T2" s="52"/>
      <c r="U2" s="52"/>
      <c r="V2" s="52"/>
      <c r="W2" s="52"/>
      <c r="X2" s="52"/>
      <c r="Y2" s="52"/>
      <c r="Z2" s="52"/>
      <c r="AA2" s="52"/>
      <c r="AB2" s="52"/>
      <c r="AC2" s="52"/>
      <c r="AD2" s="53"/>
    </row>
    <row r="3" spans="1:30" s="5" customFormat="1" ht="13.35" customHeight="1" x14ac:dyDescent="0.2">
      <c r="A3" s="24" t="s">
        <v>28</v>
      </c>
      <c r="B3" s="24" t="s">
        <v>3</v>
      </c>
      <c r="C3" s="18"/>
      <c r="D3" s="20"/>
      <c r="E3" s="20"/>
      <c r="F3" s="20"/>
      <c r="G3" s="12" t="s">
        <v>10</v>
      </c>
      <c r="H3" s="13"/>
      <c r="I3" s="14"/>
      <c r="J3" s="12" t="s">
        <v>11</v>
      </c>
      <c r="K3" s="13"/>
      <c r="L3" s="14"/>
      <c r="M3" s="12" t="s">
        <v>12</v>
      </c>
      <c r="N3" s="13"/>
      <c r="O3" s="14"/>
      <c r="P3" s="12" t="s">
        <v>13</v>
      </c>
      <c r="Q3" s="13"/>
      <c r="R3" s="14"/>
      <c r="S3" s="12" t="s">
        <v>10</v>
      </c>
      <c r="T3" s="13"/>
      <c r="U3" s="14"/>
      <c r="V3" s="12" t="s">
        <v>11</v>
      </c>
      <c r="W3" s="13"/>
      <c r="X3" s="14"/>
      <c r="Y3" s="12" t="s">
        <v>12</v>
      </c>
      <c r="Z3" s="13"/>
      <c r="AA3" s="14"/>
      <c r="AB3" s="12" t="s">
        <v>13</v>
      </c>
      <c r="AC3" s="13"/>
      <c r="AD3" s="14"/>
    </row>
    <row r="4" spans="1:30" s="5" customFormat="1" ht="12.6" customHeight="1" x14ac:dyDescent="0.2">
      <c r="A4" s="24"/>
      <c r="B4" s="24"/>
      <c r="C4" s="19"/>
      <c r="D4" s="21"/>
      <c r="E4" s="21"/>
      <c r="F4" s="21"/>
      <c r="G4" s="6" t="s">
        <v>14</v>
      </c>
      <c r="H4" s="7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7" t="s">
        <v>21</v>
      </c>
      <c r="O4" s="7" t="s">
        <v>22</v>
      </c>
      <c r="P4" s="7" t="s">
        <v>23</v>
      </c>
      <c r="Q4" s="7" t="s">
        <v>24</v>
      </c>
      <c r="R4" s="7" t="s">
        <v>25</v>
      </c>
      <c r="S4" s="6" t="s">
        <v>14</v>
      </c>
      <c r="T4" s="7" t="s">
        <v>15</v>
      </c>
      <c r="U4" s="6" t="s">
        <v>16</v>
      </c>
      <c r="V4" s="6" t="s">
        <v>17</v>
      </c>
      <c r="W4" s="6" t="s">
        <v>18</v>
      </c>
      <c r="X4" s="6" t="s">
        <v>19</v>
      </c>
      <c r="Y4" s="6" t="s">
        <v>20</v>
      </c>
      <c r="Z4" s="7" t="s">
        <v>21</v>
      </c>
      <c r="AA4" s="7" t="s">
        <v>22</v>
      </c>
      <c r="AB4" s="7" t="s">
        <v>23</v>
      </c>
      <c r="AC4" s="7" t="s">
        <v>24</v>
      </c>
      <c r="AD4" s="7" t="s">
        <v>25</v>
      </c>
    </row>
    <row r="5" spans="1:30" s="5" customFormat="1" ht="22.5" customHeight="1" x14ac:dyDescent="0.2">
      <c r="A5" s="24"/>
      <c r="B5" s="24"/>
      <c r="C5" s="25" t="s">
        <v>26</v>
      </c>
      <c r="D5" s="26"/>
      <c r="E5" s="8">
        <v>178160044215</v>
      </c>
      <c r="F5" s="9">
        <v>178160044215</v>
      </c>
      <c r="G5" s="15">
        <v>40264011333</v>
      </c>
      <c r="H5" s="16"/>
      <c r="I5" s="17"/>
      <c r="J5" s="15">
        <v>43623033473</v>
      </c>
      <c r="K5" s="16"/>
      <c r="L5" s="17"/>
      <c r="M5" s="15">
        <v>34541452721</v>
      </c>
      <c r="N5" s="16"/>
      <c r="O5" s="17"/>
      <c r="P5" s="15">
        <v>59731546688</v>
      </c>
      <c r="Q5" s="16"/>
      <c r="R5" s="17"/>
      <c r="S5" s="29" t="s">
        <v>32</v>
      </c>
      <c r="T5" s="29" t="s">
        <v>31</v>
      </c>
      <c r="U5" s="29" t="s">
        <v>33</v>
      </c>
      <c r="V5" s="29" t="s">
        <v>17</v>
      </c>
      <c r="W5" s="29" t="s">
        <v>34</v>
      </c>
      <c r="X5" s="29" t="s">
        <v>35</v>
      </c>
      <c r="Y5" s="29" t="s">
        <v>36</v>
      </c>
      <c r="Z5" s="29" t="s">
        <v>37</v>
      </c>
      <c r="AA5" s="29" t="s">
        <v>22</v>
      </c>
      <c r="AB5" s="29" t="s">
        <v>38</v>
      </c>
      <c r="AC5" s="29" t="s">
        <v>24</v>
      </c>
      <c r="AD5" s="29" t="s">
        <v>39</v>
      </c>
    </row>
    <row r="6" spans="1:30" x14ac:dyDescent="0.2"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8" t="e">
        <f>G6/$E6*100</f>
        <v>#DIV/0!</v>
      </c>
      <c r="T6" s="28" t="e">
        <f t="shared" ref="T6:AD6" si="0">H6/$E6*100</f>
        <v>#DIV/0!</v>
      </c>
      <c r="U6" s="28" t="e">
        <f t="shared" si="0"/>
        <v>#DIV/0!</v>
      </c>
      <c r="V6" s="28" t="e">
        <f t="shared" si="0"/>
        <v>#DIV/0!</v>
      </c>
      <c r="W6" s="28" t="e">
        <f t="shared" si="0"/>
        <v>#DIV/0!</v>
      </c>
      <c r="X6" s="28" t="e">
        <f t="shared" si="0"/>
        <v>#DIV/0!</v>
      </c>
      <c r="Y6" s="28" t="e">
        <f t="shared" si="0"/>
        <v>#DIV/0!</v>
      </c>
      <c r="Z6" s="28" t="e">
        <f t="shared" si="0"/>
        <v>#DIV/0!</v>
      </c>
      <c r="AA6" s="28" t="e">
        <f t="shared" si="0"/>
        <v>#DIV/0!</v>
      </c>
      <c r="AB6" s="28" t="e">
        <f t="shared" si="0"/>
        <v>#DIV/0!</v>
      </c>
      <c r="AC6" s="28" t="e">
        <f t="shared" si="0"/>
        <v>#DIV/0!</v>
      </c>
      <c r="AD6" s="28" t="e">
        <f t="shared" si="0"/>
        <v>#DIV/0!</v>
      </c>
    </row>
    <row r="7" spans="1:30" x14ac:dyDescent="0.2">
      <c r="C7" s="64" t="s">
        <v>99</v>
      </c>
      <c r="D7" s="65"/>
      <c r="E7" s="83">
        <v>178160044215</v>
      </c>
      <c r="F7" s="66">
        <v>178160044215</v>
      </c>
      <c r="G7" s="68">
        <v>83887044806</v>
      </c>
      <c r="H7" s="69"/>
      <c r="I7" s="69"/>
      <c r="J7" s="69"/>
      <c r="K7" s="69"/>
      <c r="L7" s="70"/>
      <c r="M7" s="68">
        <v>94272999409</v>
      </c>
      <c r="N7" s="69"/>
      <c r="O7" s="69"/>
      <c r="P7" s="69"/>
      <c r="Q7" s="69"/>
      <c r="R7" s="70"/>
      <c r="S7" s="28" t="e">
        <f t="shared" ref="S7:S41" si="1">G7/$E$6*100</f>
        <v>#DIV/0!</v>
      </c>
      <c r="T7" s="28" t="e">
        <f t="shared" ref="T7:T41" si="2">H7/$E$6*100</f>
        <v>#DIV/0!</v>
      </c>
      <c r="U7" s="28" t="e">
        <f t="shared" ref="U7:U41" si="3">I7/$E$6*100</f>
        <v>#DIV/0!</v>
      </c>
      <c r="V7" s="28" t="e">
        <f t="shared" ref="V7:V41" si="4">J7/$E$6*100</f>
        <v>#DIV/0!</v>
      </c>
      <c r="W7" s="28" t="e">
        <f t="shared" ref="W7:W41" si="5">K7/$E$6*100</f>
        <v>#DIV/0!</v>
      </c>
      <c r="X7" s="28" t="e">
        <f t="shared" ref="X7:X41" si="6">L7/$E$6*100</f>
        <v>#DIV/0!</v>
      </c>
      <c r="Y7" s="28" t="e">
        <f t="shared" ref="Y7:Y41" si="7">M7/$E$6*100</f>
        <v>#DIV/0!</v>
      </c>
      <c r="Z7" s="28" t="e">
        <f t="shared" ref="Z7:Z41" si="8">N7/$E$6*100</f>
        <v>#DIV/0!</v>
      </c>
      <c r="AA7" s="28" t="e">
        <f t="shared" ref="AA7:AA41" si="9">O7/$E$6*100</f>
        <v>#DIV/0!</v>
      </c>
      <c r="AB7" s="28" t="e">
        <f t="shared" ref="AB7:AB41" si="10">P7/$E$6*100</f>
        <v>#DIV/0!</v>
      </c>
      <c r="AC7" s="28" t="e">
        <f t="shared" ref="AC7:AC41" si="11">Q7/$E$6*100</f>
        <v>#DIV/0!</v>
      </c>
      <c r="AD7" s="28" t="e">
        <f t="shared" ref="AD7:AD41" si="12">R7/$E$6*100</f>
        <v>#DIV/0!</v>
      </c>
    </row>
    <row r="8" spans="1:30" x14ac:dyDescent="0.2">
      <c r="C8" s="35" t="s">
        <v>100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28" t="e">
        <f t="shared" si="1"/>
        <v>#DIV/0!</v>
      </c>
      <c r="T8" s="28" t="e">
        <f t="shared" si="2"/>
        <v>#DIV/0!</v>
      </c>
      <c r="U8" s="28" t="e">
        <f t="shared" si="3"/>
        <v>#DIV/0!</v>
      </c>
      <c r="V8" s="28" t="e">
        <f t="shared" si="4"/>
        <v>#DIV/0!</v>
      </c>
      <c r="W8" s="28" t="e">
        <f t="shared" si="5"/>
        <v>#DIV/0!</v>
      </c>
      <c r="X8" s="28" t="e">
        <f t="shared" si="6"/>
        <v>#DIV/0!</v>
      </c>
      <c r="Y8" s="28" t="e">
        <f t="shared" si="7"/>
        <v>#DIV/0!</v>
      </c>
      <c r="Z8" s="28" t="e">
        <f t="shared" si="8"/>
        <v>#DIV/0!</v>
      </c>
      <c r="AA8" s="28" t="e">
        <f t="shared" si="9"/>
        <v>#DIV/0!</v>
      </c>
      <c r="AB8" s="28" t="e">
        <f t="shared" si="10"/>
        <v>#DIV/0!</v>
      </c>
      <c r="AC8" s="28" t="e">
        <f t="shared" si="11"/>
        <v>#DIV/0!</v>
      </c>
      <c r="AD8" s="28" t="e">
        <f t="shared" si="12"/>
        <v>#DIV/0!</v>
      </c>
    </row>
    <row r="9" spans="1:30" x14ac:dyDescent="0.2">
      <c r="C9" s="35" t="s">
        <v>101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28" t="e">
        <f t="shared" si="1"/>
        <v>#DIV/0!</v>
      </c>
      <c r="T9" s="28" t="e">
        <f t="shared" si="2"/>
        <v>#DIV/0!</v>
      </c>
      <c r="U9" s="28" t="e">
        <f t="shared" si="3"/>
        <v>#DIV/0!</v>
      </c>
      <c r="V9" s="28" t="e">
        <f t="shared" si="4"/>
        <v>#DIV/0!</v>
      </c>
      <c r="W9" s="28" t="e">
        <f t="shared" si="5"/>
        <v>#DIV/0!</v>
      </c>
      <c r="X9" s="28" t="e">
        <f t="shared" si="6"/>
        <v>#DIV/0!</v>
      </c>
      <c r="Y9" s="28" t="e">
        <f t="shared" si="7"/>
        <v>#DIV/0!</v>
      </c>
      <c r="Z9" s="28" t="e">
        <f t="shared" si="8"/>
        <v>#DIV/0!</v>
      </c>
      <c r="AA9" s="28" t="e">
        <f t="shared" si="9"/>
        <v>#DIV/0!</v>
      </c>
      <c r="AB9" s="28" t="e">
        <f t="shared" si="10"/>
        <v>#DIV/0!</v>
      </c>
      <c r="AC9" s="28" t="e">
        <f t="shared" si="11"/>
        <v>#DIV/0!</v>
      </c>
      <c r="AD9" s="28" t="e">
        <f t="shared" si="12"/>
        <v>#DIV/0!</v>
      </c>
    </row>
    <row r="10" spans="1:30" x14ac:dyDescent="0.2">
      <c r="S10" s="28" t="e">
        <f t="shared" si="1"/>
        <v>#DIV/0!</v>
      </c>
      <c r="T10" s="28" t="e">
        <f t="shared" si="2"/>
        <v>#DIV/0!</v>
      </c>
      <c r="U10" s="28" t="e">
        <f t="shared" si="3"/>
        <v>#DIV/0!</v>
      </c>
      <c r="V10" s="28" t="e">
        <f t="shared" si="4"/>
        <v>#DIV/0!</v>
      </c>
      <c r="W10" s="28" t="e">
        <f t="shared" si="5"/>
        <v>#DIV/0!</v>
      </c>
      <c r="X10" s="28" t="e">
        <f t="shared" si="6"/>
        <v>#DIV/0!</v>
      </c>
      <c r="Y10" s="28" t="e">
        <f t="shared" si="7"/>
        <v>#DIV/0!</v>
      </c>
      <c r="Z10" s="28" t="e">
        <f t="shared" si="8"/>
        <v>#DIV/0!</v>
      </c>
      <c r="AA10" s="28" t="e">
        <f t="shared" si="9"/>
        <v>#DIV/0!</v>
      </c>
      <c r="AB10" s="28" t="e">
        <f t="shared" si="10"/>
        <v>#DIV/0!</v>
      </c>
      <c r="AC10" s="28" t="e">
        <f t="shared" si="11"/>
        <v>#DIV/0!</v>
      </c>
      <c r="AD10" s="28" t="e">
        <f t="shared" si="12"/>
        <v>#DIV/0!</v>
      </c>
    </row>
    <row r="11" spans="1:30" x14ac:dyDescent="0.2">
      <c r="S11" s="28" t="e">
        <f t="shared" si="1"/>
        <v>#DIV/0!</v>
      </c>
      <c r="T11" s="28" t="e">
        <f t="shared" si="2"/>
        <v>#DIV/0!</v>
      </c>
      <c r="U11" s="28" t="e">
        <f t="shared" si="3"/>
        <v>#DIV/0!</v>
      </c>
      <c r="V11" s="28" t="e">
        <f t="shared" si="4"/>
        <v>#DIV/0!</v>
      </c>
      <c r="W11" s="28" t="e">
        <f t="shared" si="5"/>
        <v>#DIV/0!</v>
      </c>
      <c r="X11" s="28" t="e">
        <f t="shared" si="6"/>
        <v>#DIV/0!</v>
      </c>
      <c r="Y11" s="28" t="e">
        <f t="shared" si="7"/>
        <v>#DIV/0!</v>
      </c>
      <c r="Z11" s="28" t="e">
        <f t="shared" si="8"/>
        <v>#DIV/0!</v>
      </c>
      <c r="AA11" s="28" t="e">
        <f t="shared" si="9"/>
        <v>#DIV/0!</v>
      </c>
      <c r="AB11" s="28" t="e">
        <f t="shared" si="10"/>
        <v>#DIV/0!</v>
      </c>
      <c r="AC11" s="28" t="e">
        <f t="shared" si="11"/>
        <v>#DIV/0!</v>
      </c>
      <c r="AD11" s="28" t="e">
        <f t="shared" si="12"/>
        <v>#DIV/0!</v>
      </c>
    </row>
    <row r="12" spans="1:30" x14ac:dyDescent="0.2">
      <c r="S12" s="28" t="e">
        <f t="shared" si="1"/>
        <v>#DIV/0!</v>
      </c>
      <c r="T12" s="28" t="e">
        <f t="shared" si="2"/>
        <v>#DIV/0!</v>
      </c>
      <c r="U12" s="28" t="e">
        <f t="shared" si="3"/>
        <v>#DIV/0!</v>
      </c>
      <c r="V12" s="28" t="e">
        <f t="shared" si="4"/>
        <v>#DIV/0!</v>
      </c>
      <c r="W12" s="28" t="e">
        <f t="shared" si="5"/>
        <v>#DIV/0!</v>
      </c>
      <c r="X12" s="28" t="e">
        <f t="shared" si="6"/>
        <v>#DIV/0!</v>
      </c>
      <c r="Y12" s="28" t="e">
        <f t="shared" si="7"/>
        <v>#DIV/0!</v>
      </c>
      <c r="Z12" s="28" t="e">
        <f t="shared" si="8"/>
        <v>#DIV/0!</v>
      </c>
      <c r="AA12" s="28" t="e">
        <f t="shared" si="9"/>
        <v>#DIV/0!</v>
      </c>
      <c r="AB12" s="28" t="e">
        <f t="shared" si="10"/>
        <v>#DIV/0!</v>
      </c>
      <c r="AC12" s="28" t="e">
        <f t="shared" si="11"/>
        <v>#DIV/0!</v>
      </c>
      <c r="AD12" s="28" t="e">
        <f t="shared" si="12"/>
        <v>#DIV/0!</v>
      </c>
    </row>
    <row r="13" spans="1:30" x14ac:dyDescent="0.2">
      <c r="S13" s="28" t="e">
        <f t="shared" si="1"/>
        <v>#DIV/0!</v>
      </c>
      <c r="T13" s="28" t="e">
        <f t="shared" si="2"/>
        <v>#DIV/0!</v>
      </c>
      <c r="U13" s="28" t="e">
        <f t="shared" si="3"/>
        <v>#DIV/0!</v>
      </c>
      <c r="V13" s="28" t="e">
        <f t="shared" si="4"/>
        <v>#DIV/0!</v>
      </c>
      <c r="W13" s="28" t="e">
        <f t="shared" si="5"/>
        <v>#DIV/0!</v>
      </c>
      <c r="X13" s="28" t="e">
        <f t="shared" si="6"/>
        <v>#DIV/0!</v>
      </c>
      <c r="Y13" s="28" t="e">
        <f t="shared" si="7"/>
        <v>#DIV/0!</v>
      </c>
      <c r="Z13" s="28" t="e">
        <f t="shared" si="8"/>
        <v>#DIV/0!</v>
      </c>
      <c r="AA13" s="28" t="e">
        <f t="shared" si="9"/>
        <v>#DIV/0!</v>
      </c>
      <c r="AB13" s="28" t="e">
        <f t="shared" si="10"/>
        <v>#DIV/0!</v>
      </c>
      <c r="AC13" s="28" t="e">
        <f t="shared" si="11"/>
        <v>#DIV/0!</v>
      </c>
      <c r="AD13" s="28" t="e">
        <f t="shared" si="12"/>
        <v>#DIV/0!</v>
      </c>
    </row>
    <row r="14" spans="1:30" x14ac:dyDescent="0.2">
      <c r="S14" s="28" t="e">
        <f t="shared" si="1"/>
        <v>#DIV/0!</v>
      </c>
      <c r="T14" s="28" t="e">
        <f t="shared" si="2"/>
        <v>#DIV/0!</v>
      </c>
      <c r="U14" s="28" t="e">
        <f t="shared" si="3"/>
        <v>#DIV/0!</v>
      </c>
      <c r="V14" s="28" t="e">
        <f t="shared" si="4"/>
        <v>#DIV/0!</v>
      </c>
      <c r="W14" s="28" t="e">
        <f t="shared" si="5"/>
        <v>#DIV/0!</v>
      </c>
      <c r="X14" s="28" t="e">
        <f t="shared" si="6"/>
        <v>#DIV/0!</v>
      </c>
      <c r="Y14" s="28" t="e">
        <f t="shared" si="7"/>
        <v>#DIV/0!</v>
      </c>
      <c r="Z14" s="28" t="e">
        <f t="shared" si="8"/>
        <v>#DIV/0!</v>
      </c>
      <c r="AA14" s="28" t="e">
        <f t="shared" si="9"/>
        <v>#DIV/0!</v>
      </c>
      <c r="AB14" s="28" t="e">
        <f t="shared" si="10"/>
        <v>#DIV/0!</v>
      </c>
      <c r="AC14" s="28" t="e">
        <f t="shared" si="11"/>
        <v>#DIV/0!</v>
      </c>
      <c r="AD14" s="28" t="e">
        <f t="shared" si="12"/>
        <v>#DIV/0!</v>
      </c>
    </row>
    <row r="15" spans="1:30" x14ac:dyDescent="0.2">
      <c r="S15" s="28" t="e">
        <f t="shared" si="1"/>
        <v>#DIV/0!</v>
      </c>
      <c r="T15" s="28" t="e">
        <f t="shared" si="2"/>
        <v>#DIV/0!</v>
      </c>
      <c r="U15" s="28" t="e">
        <f t="shared" si="3"/>
        <v>#DIV/0!</v>
      </c>
      <c r="V15" s="28" t="e">
        <f t="shared" si="4"/>
        <v>#DIV/0!</v>
      </c>
      <c r="W15" s="28" t="e">
        <f t="shared" si="5"/>
        <v>#DIV/0!</v>
      </c>
      <c r="X15" s="28" t="e">
        <f t="shared" si="6"/>
        <v>#DIV/0!</v>
      </c>
      <c r="Y15" s="28" t="e">
        <f t="shared" si="7"/>
        <v>#DIV/0!</v>
      </c>
      <c r="Z15" s="28" t="e">
        <f t="shared" si="8"/>
        <v>#DIV/0!</v>
      </c>
      <c r="AA15" s="28" t="e">
        <f t="shared" si="9"/>
        <v>#DIV/0!</v>
      </c>
      <c r="AB15" s="28" t="e">
        <f t="shared" si="10"/>
        <v>#DIV/0!</v>
      </c>
      <c r="AC15" s="28" t="e">
        <f t="shared" si="11"/>
        <v>#DIV/0!</v>
      </c>
      <c r="AD15" s="28" t="e">
        <f t="shared" si="12"/>
        <v>#DIV/0!</v>
      </c>
    </row>
    <row r="16" spans="1:30" x14ac:dyDescent="0.2">
      <c r="S16" s="28" t="e">
        <f t="shared" si="1"/>
        <v>#DIV/0!</v>
      </c>
      <c r="T16" s="28" t="e">
        <f t="shared" si="2"/>
        <v>#DIV/0!</v>
      </c>
      <c r="U16" s="28" t="e">
        <f t="shared" si="3"/>
        <v>#DIV/0!</v>
      </c>
      <c r="V16" s="28" t="e">
        <f t="shared" si="4"/>
        <v>#DIV/0!</v>
      </c>
      <c r="W16" s="28" t="e">
        <f t="shared" si="5"/>
        <v>#DIV/0!</v>
      </c>
      <c r="X16" s="28" t="e">
        <f t="shared" si="6"/>
        <v>#DIV/0!</v>
      </c>
      <c r="Y16" s="28" t="e">
        <f t="shared" si="7"/>
        <v>#DIV/0!</v>
      </c>
      <c r="Z16" s="28" t="e">
        <f t="shared" si="8"/>
        <v>#DIV/0!</v>
      </c>
      <c r="AA16" s="28" t="e">
        <f t="shared" si="9"/>
        <v>#DIV/0!</v>
      </c>
      <c r="AB16" s="28" t="e">
        <f t="shared" si="10"/>
        <v>#DIV/0!</v>
      </c>
      <c r="AC16" s="28" t="e">
        <f t="shared" si="11"/>
        <v>#DIV/0!</v>
      </c>
      <c r="AD16" s="28" t="e">
        <f t="shared" si="12"/>
        <v>#DIV/0!</v>
      </c>
    </row>
    <row r="17" spans="19:30" x14ac:dyDescent="0.2">
      <c r="S17" s="28" t="e">
        <f t="shared" si="1"/>
        <v>#DIV/0!</v>
      </c>
      <c r="T17" s="28" t="e">
        <f t="shared" si="2"/>
        <v>#DIV/0!</v>
      </c>
      <c r="U17" s="28" t="e">
        <f t="shared" si="3"/>
        <v>#DIV/0!</v>
      </c>
      <c r="V17" s="28" t="e">
        <f t="shared" si="4"/>
        <v>#DIV/0!</v>
      </c>
      <c r="W17" s="28" t="e">
        <f t="shared" si="5"/>
        <v>#DIV/0!</v>
      </c>
      <c r="X17" s="28" t="e">
        <f t="shared" si="6"/>
        <v>#DIV/0!</v>
      </c>
      <c r="Y17" s="28" t="e">
        <f t="shared" si="7"/>
        <v>#DIV/0!</v>
      </c>
      <c r="Z17" s="28" t="e">
        <f t="shared" si="8"/>
        <v>#DIV/0!</v>
      </c>
      <c r="AA17" s="28" t="e">
        <f t="shared" si="9"/>
        <v>#DIV/0!</v>
      </c>
      <c r="AB17" s="28" t="e">
        <f t="shared" si="10"/>
        <v>#DIV/0!</v>
      </c>
      <c r="AC17" s="28" t="e">
        <f t="shared" si="11"/>
        <v>#DIV/0!</v>
      </c>
      <c r="AD17" s="28" t="e">
        <f t="shared" si="12"/>
        <v>#DIV/0!</v>
      </c>
    </row>
    <row r="18" spans="19:30" x14ac:dyDescent="0.2">
      <c r="S18" s="28" t="e">
        <f t="shared" si="1"/>
        <v>#DIV/0!</v>
      </c>
      <c r="T18" s="28" t="e">
        <f t="shared" si="2"/>
        <v>#DIV/0!</v>
      </c>
      <c r="U18" s="28" t="e">
        <f t="shared" si="3"/>
        <v>#DIV/0!</v>
      </c>
      <c r="V18" s="28" t="e">
        <f t="shared" si="4"/>
        <v>#DIV/0!</v>
      </c>
      <c r="W18" s="28" t="e">
        <f t="shared" si="5"/>
        <v>#DIV/0!</v>
      </c>
      <c r="X18" s="28" t="e">
        <f t="shared" si="6"/>
        <v>#DIV/0!</v>
      </c>
      <c r="Y18" s="28" t="e">
        <f t="shared" si="7"/>
        <v>#DIV/0!</v>
      </c>
      <c r="Z18" s="28" t="e">
        <f t="shared" si="8"/>
        <v>#DIV/0!</v>
      </c>
      <c r="AA18" s="28" t="e">
        <f t="shared" si="9"/>
        <v>#DIV/0!</v>
      </c>
      <c r="AB18" s="28" t="e">
        <f t="shared" si="10"/>
        <v>#DIV/0!</v>
      </c>
      <c r="AC18" s="28" t="e">
        <f t="shared" si="11"/>
        <v>#DIV/0!</v>
      </c>
      <c r="AD18" s="28" t="e">
        <f t="shared" si="12"/>
        <v>#DIV/0!</v>
      </c>
    </row>
    <row r="19" spans="19:30" x14ac:dyDescent="0.2">
      <c r="S19" s="28" t="e">
        <f t="shared" si="1"/>
        <v>#DIV/0!</v>
      </c>
      <c r="T19" s="28" t="e">
        <f t="shared" si="2"/>
        <v>#DIV/0!</v>
      </c>
      <c r="U19" s="28" t="e">
        <f t="shared" si="3"/>
        <v>#DIV/0!</v>
      </c>
      <c r="V19" s="28" t="e">
        <f t="shared" si="4"/>
        <v>#DIV/0!</v>
      </c>
      <c r="W19" s="28" t="e">
        <f t="shared" si="5"/>
        <v>#DIV/0!</v>
      </c>
      <c r="X19" s="28" t="e">
        <f t="shared" si="6"/>
        <v>#DIV/0!</v>
      </c>
      <c r="Y19" s="28" t="e">
        <f t="shared" si="7"/>
        <v>#DIV/0!</v>
      </c>
      <c r="Z19" s="28" t="e">
        <f t="shared" si="8"/>
        <v>#DIV/0!</v>
      </c>
      <c r="AA19" s="28" t="e">
        <f t="shared" si="9"/>
        <v>#DIV/0!</v>
      </c>
      <c r="AB19" s="28" t="e">
        <f t="shared" si="10"/>
        <v>#DIV/0!</v>
      </c>
      <c r="AC19" s="28" t="e">
        <f t="shared" si="11"/>
        <v>#DIV/0!</v>
      </c>
      <c r="AD19" s="28" t="e">
        <f t="shared" si="12"/>
        <v>#DIV/0!</v>
      </c>
    </row>
    <row r="20" spans="19:30" x14ac:dyDescent="0.2">
      <c r="S20" s="28" t="e">
        <f t="shared" si="1"/>
        <v>#DIV/0!</v>
      </c>
      <c r="T20" s="28" t="e">
        <f t="shared" si="2"/>
        <v>#DIV/0!</v>
      </c>
      <c r="U20" s="28" t="e">
        <f t="shared" si="3"/>
        <v>#DIV/0!</v>
      </c>
      <c r="V20" s="28" t="e">
        <f t="shared" si="4"/>
        <v>#DIV/0!</v>
      </c>
      <c r="W20" s="28" t="e">
        <f t="shared" si="5"/>
        <v>#DIV/0!</v>
      </c>
      <c r="X20" s="28" t="e">
        <f t="shared" si="6"/>
        <v>#DIV/0!</v>
      </c>
      <c r="Y20" s="28" t="e">
        <f t="shared" si="7"/>
        <v>#DIV/0!</v>
      </c>
      <c r="Z20" s="28" t="e">
        <f t="shared" si="8"/>
        <v>#DIV/0!</v>
      </c>
      <c r="AA20" s="28" t="e">
        <f t="shared" si="9"/>
        <v>#DIV/0!</v>
      </c>
      <c r="AB20" s="28" t="e">
        <f t="shared" si="10"/>
        <v>#DIV/0!</v>
      </c>
      <c r="AC20" s="28" t="e">
        <f t="shared" si="11"/>
        <v>#DIV/0!</v>
      </c>
      <c r="AD20" s="28" t="e">
        <f t="shared" si="12"/>
        <v>#DIV/0!</v>
      </c>
    </row>
    <row r="21" spans="19:30" x14ac:dyDescent="0.2">
      <c r="S21" s="28" t="e">
        <f t="shared" si="1"/>
        <v>#DIV/0!</v>
      </c>
      <c r="T21" s="28" t="e">
        <f t="shared" si="2"/>
        <v>#DIV/0!</v>
      </c>
      <c r="U21" s="28" t="e">
        <f t="shared" si="3"/>
        <v>#DIV/0!</v>
      </c>
      <c r="V21" s="28" t="e">
        <f t="shared" si="4"/>
        <v>#DIV/0!</v>
      </c>
      <c r="W21" s="28" t="e">
        <f t="shared" si="5"/>
        <v>#DIV/0!</v>
      </c>
      <c r="X21" s="28" t="e">
        <f t="shared" si="6"/>
        <v>#DIV/0!</v>
      </c>
      <c r="Y21" s="28" t="e">
        <f t="shared" si="7"/>
        <v>#DIV/0!</v>
      </c>
      <c r="Z21" s="28" t="e">
        <f t="shared" si="8"/>
        <v>#DIV/0!</v>
      </c>
      <c r="AA21" s="28" t="e">
        <f t="shared" si="9"/>
        <v>#DIV/0!</v>
      </c>
      <c r="AB21" s="28" t="e">
        <f t="shared" si="10"/>
        <v>#DIV/0!</v>
      </c>
      <c r="AC21" s="28" t="e">
        <f t="shared" si="11"/>
        <v>#DIV/0!</v>
      </c>
      <c r="AD21" s="28" t="e">
        <f t="shared" si="12"/>
        <v>#DIV/0!</v>
      </c>
    </row>
    <row r="22" spans="19:30" x14ac:dyDescent="0.2">
      <c r="S22" s="28" t="e">
        <f t="shared" si="1"/>
        <v>#DIV/0!</v>
      </c>
      <c r="T22" s="28" t="e">
        <f t="shared" si="2"/>
        <v>#DIV/0!</v>
      </c>
      <c r="U22" s="28" t="e">
        <f t="shared" si="3"/>
        <v>#DIV/0!</v>
      </c>
      <c r="V22" s="28" t="e">
        <f t="shared" si="4"/>
        <v>#DIV/0!</v>
      </c>
      <c r="W22" s="28" t="e">
        <f t="shared" si="5"/>
        <v>#DIV/0!</v>
      </c>
      <c r="X22" s="28" t="e">
        <f t="shared" si="6"/>
        <v>#DIV/0!</v>
      </c>
      <c r="Y22" s="28" t="e">
        <f t="shared" si="7"/>
        <v>#DIV/0!</v>
      </c>
      <c r="Z22" s="28" t="e">
        <f t="shared" si="8"/>
        <v>#DIV/0!</v>
      </c>
      <c r="AA22" s="28" t="e">
        <f t="shared" si="9"/>
        <v>#DIV/0!</v>
      </c>
      <c r="AB22" s="28" t="e">
        <f t="shared" si="10"/>
        <v>#DIV/0!</v>
      </c>
      <c r="AC22" s="28" t="e">
        <f t="shared" si="11"/>
        <v>#DIV/0!</v>
      </c>
      <c r="AD22" s="28" t="e">
        <f t="shared" si="12"/>
        <v>#DIV/0!</v>
      </c>
    </row>
    <row r="23" spans="19:30" x14ac:dyDescent="0.2">
      <c r="S23" s="28" t="e">
        <f>G23/$E$6*100</f>
        <v>#DIV/0!</v>
      </c>
      <c r="T23" s="28" t="e">
        <f t="shared" si="2"/>
        <v>#DIV/0!</v>
      </c>
      <c r="U23" s="28" t="e">
        <f t="shared" si="3"/>
        <v>#DIV/0!</v>
      </c>
      <c r="V23" s="28" t="e">
        <f t="shared" si="4"/>
        <v>#DIV/0!</v>
      </c>
      <c r="W23" s="28" t="e">
        <f t="shared" si="5"/>
        <v>#DIV/0!</v>
      </c>
      <c r="X23" s="28" t="e">
        <f t="shared" si="6"/>
        <v>#DIV/0!</v>
      </c>
      <c r="Y23" s="28" t="e">
        <f t="shared" si="7"/>
        <v>#DIV/0!</v>
      </c>
      <c r="Z23" s="28" t="e">
        <f t="shared" si="8"/>
        <v>#DIV/0!</v>
      </c>
      <c r="AA23" s="28" t="e">
        <f t="shared" si="9"/>
        <v>#DIV/0!</v>
      </c>
      <c r="AB23" s="28" t="e">
        <f t="shared" si="10"/>
        <v>#DIV/0!</v>
      </c>
      <c r="AC23" s="28" t="e">
        <f t="shared" si="11"/>
        <v>#DIV/0!</v>
      </c>
      <c r="AD23" s="28" t="e">
        <f t="shared" si="12"/>
        <v>#DIV/0!</v>
      </c>
    </row>
    <row r="24" spans="19:30" x14ac:dyDescent="0.2">
      <c r="S24" s="28" t="e">
        <f t="shared" si="1"/>
        <v>#DIV/0!</v>
      </c>
      <c r="T24" s="28" t="e">
        <f t="shared" si="2"/>
        <v>#DIV/0!</v>
      </c>
      <c r="U24" s="28" t="e">
        <f t="shared" si="3"/>
        <v>#DIV/0!</v>
      </c>
      <c r="V24" s="28" t="e">
        <f t="shared" si="4"/>
        <v>#DIV/0!</v>
      </c>
      <c r="W24" s="28" t="e">
        <f t="shared" si="5"/>
        <v>#DIV/0!</v>
      </c>
      <c r="X24" s="28" t="e">
        <f t="shared" si="6"/>
        <v>#DIV/0!</v>
      </c>
      <c r="Y24" s="28" t="e">
        <f t="shared" si="7"/>
        <v>#DIV/0!</v>
      </c>
      <c r="Z24" s="28" t="e">
        <f t="shared" si="8"/>
        <v>#DIV/0!</v>
      </c>
      <c r="AA24" s="28" t="e">
        <f t="shared" si="9"/>
        <v>#DIV/0!</v>
      </c>
      <c r="AB24" s="28" t="e">
        <f t="shared" si="10"/>
        <v>#DIV/0!</v>
      </c>
      <c r="AC24" s="28" t="e">
        <f t="shared" si="11"/>
        <v>#DIV/0!</v>
      </c>
      <c r="AD24" s="28" t="e">
        <f t="shared" si="12"/>
        <v>#DIV/0!</v>
      </c>
    </row>
    <row r="25" spans="19:30" x14ac:dyDescent="0.2">
      <c r="S25" s="28" t="e">
        <f t="shared" si="1"/>
        <v>#DIV/0!</v>
      </c>
      <c r="T25" s="28" t="e">
        <f t="shared" si="2"/>
        <v>#DIV/0!</v>
      </c>
      <c r="U25" s="28" t="e">
        <f t="shared" si="3"/>
        <v>#DIV/0!</v>
      </c>
      <c r="V25" s="28" t="e">
        <f t="shared" si="4"/>
        <v>#DIV/0!</v>
      </c>
      <c r="W25" s="28" t="e">
        <f t="shared" si="5"/>
        <v>#DIV/0!</v>
      </c>
      <c r="X25" s="28" t="e">
        <f t="shared" si="6"/>
        <v>#DIV/0!</v>
      </c>
      <c r="Y25" s="28" t="e">
        <f t="shared" si="7"/>
        <v>#DIV/0!</v>
      </c>
      <c r="Z25" s="28" t="e">
        <f t="shared" si="8"/>
        <v>#DIV/0!</v>
      </c>
      <c r="AA25" s="28" t="e">
        <f t="shared" si="9"/>
        <v>#DIV/0!</v>
      </c>
      <c r="AB25" s="28" t="e">
        <f t="shared" si="10"/>
        <v>#DIV/0!</v>
      </c>
      <c r="AC25" s="28" t="e">
        <f t="shared" si="11"/>
        <v>#DIV/0!</v>
      </c>
      <c r="AD25" s="28" t="e">
        <f t="shared" si="12"/>
        <v>#DIV/0!</v>
      </c>
    </row>
    <row r="26" spans="19:30" x14ac:dyDescent="0.2">
      <c r="S26" s="28" t="e">
        <f t="shared" si="1"/>
        <v>#DIV/0!</v>
      </c>
      <c r="T26" s="28" t="e">
        <f t="shared" si="2"/>
        <v>#DIV/0!</v>
      </c>
      <c r="U26" s="28" t="e">
        <f t="shared" si="3"/>
        <v>#DIV/0!</v>
      </c>
      <c r="V26" s="28" t="e">
        <f t="shared" si="4"/>
        <v>#DIV/0!</v>
      </c>
      <c r="W26" s="28" t="e">
        <f t="shared" si="5"/>
        <v>#DIV/0!</v>
      </c>
      <c r="X26" s="28" t="e">
        <f t="shared" si="6"/>
        <v>#DIV/0!</v>
      </c>
      <c r="Y26" s="28" t="e">
        <f t="shared" si="7"/>
        <v>#DIV/0!</v>
      </c>
      <c r="Z26" s="28" t="e">
        <f t="shared" si="8"/>
        <v>#DIV/0!</v>
      </c>
      <c r="AA26" s="28" t="e">
        <f t="shared" si="9"/>
        <v>#DIV/0!</v>
      </c>
      <c r="AB26" s="28" t="e">
        <f t="shared" si="10"/>
        <v>#DIV/0!</v>
      </c>
      <c r="AC26" s="28" t="e">
        <f t="shared" si="11"/>
        <v>#DIV/0!</v>
      </c>
      <c r="AD26" s="28" t="e">
        <f t="shared" si="12"/>
        <v>#DIV/0!</v>
      </c>
    </row>
    <row r="27" spans="19:30" x14ac:dyDescent="0.2">
      <c r="S27" s="28" t="e">
        <f t="shared" si="1"/>
        <v>#DIV/0!</v>
      </c>
      <c r="T27" s="28" t="e">
        <f t="shared" si="2"/>
        <v>#DIV/0!</v>
      </c>
      <c r="U27" s="28" t="e">
        <f t="shared" si="3"/>
        <v>#DIV/0!</v>
      </c>
      <c r="V27" s="28" t="e">
        <f t="shared" si="4"/>
        <v>#DIV/0!</v>
      </c>
      <c r="W27" s="28" t="e">
        <f t="shared" si="5"/>
        <v>#DIV/0!</v>
      </c>
      <c r="X27" s="28" t="e">
        <f t="shared" si="6"/>
        <v>#DIV/0!</v>
      </c>
      <c r="Y27" s="28" t="e">
        <f t="shared" si="7"/>
        <v>#DIV/0!</v>
      </c>
      <c r="Z27" s="28" t="e">
        <f t="shared" si="8"/>
        <v>#DIV/0!</v>
      </c>
      <c r="AA27" s="28" t="e">
        <f t="shared" si="9"/>
        <v>#DIV/0!</v>
      </c>
      <c r="AB27" s="28" t="e">
        <f t="shared" si="10"/>
        <v>#DIV/0!</v>
      </c>
      <c r="AC27" s="28" t="e">
        <f t="shared" si="11"/>
        <v>#DIV/0!</v>
      </c>
      <c r="AD27" s="28" t="e">
        <f t="shared" si="12"/>
        <v>#DIV/0!</v>
      </c>
    </row>
    <row r="28" spans="19:30" x14ac:dyDescent="0.2">
      <c r="S28" s="28" t="e">
        <f t="shared" si="1"/>
        <v>#DIV/0!</v>
      </c>
      <c r="T28" s="28" t="e">
        <f t="shared" si="2"/>
        <v>#DIV/0!</v>
      </c>
      <c r="U28" s="28" t="e">
        <f t="shared" si="3"/>
        <v>#DIV/0!</v>
      </c>
      <c r="V28" s="28" t="e">
        <f t="shared" si="4"/>
        <v>#DIV/0!</v>
      </c>
      <c r="W28" s="28" t="e">
        <f t="shared" si="5"/>
        <v>#DIV/0!</v>
      </c>
      <c r="X28" s="28" t="e">
        <f t="shared" si="6"/>
        <v>#DIV/0!</v>
      </c>
      <c r="Y28" s="28" t="e">
        <f t="shared" si="7"/>
        <v>#DIV/0!</v>
      </c>
      <c r="Z28" s="28" t="e">
        <f t="shared" si="8"/>
        <v>#DIV/0!</v>
      </c>
      <c r="AA28" s="28" t="e">
        <f t="shared" si="9"/>
        <v>#DIV/0!</v>
      </c>
      <c r="AB28" s="28" t="e">
        <f t="shared" si="10"/>
        <v>#DIV/0!</v>
      </c>
      <c r="AC28" s="28" t="e">
        <f t="shared" si="11"/>
        <v>#DIV/0!</v>
      </c>
      <c r="AD28" s="28" t="e">
        <f t="shared" si="12"/>
        <v>#DIV/0!</v>
      </c>
    </row>
    <row r="29" spans="19:30" x14ac:dyDescent="0.2">
      <c r="S29" s="28" t="e">
        <f t="shared" si="1"/>
        <v>#DIV/0!</v>
      </c>
      <c r="T29" s="28" t="e">
        <f t="shared" si="2"/>
        <v>#DIV/0!</v>
      </c>
      <c r="U29" s="28" t="e">
        <f t="shared" si="3"/>
        <v>#DIV/0!</v>
      </c>
      <c r="V29" s="28" t="e">
        <f t="shared" si="4"/>
        <v>#DIV/0!</v>
      </c>
      <c r="W29" s="28" t="e">
        <f t="shared" si="5"/>
        <v>#DIV/0!</v>
      </c>
      <c r="X29" s="28" t="e">
        <f t="shared" si="6"/>
        <v>#DIV/0!</v>
      </c>
      <c r="Y29" s="28" t="e">
        <f t="shared" si="7"/>
        <v>#DIV/0!</v>
      </c>
      <c r="Z29" s="28" t="e">
        <f t="shared" si="8"/>
        <v>#DIV/0!</v>
      </c>
      <c r="AA29" s="28" t="e">
        <f t="shared" si="9"/>
        <v>#DIV/0!</v>
      </c>
      <c r="AB29" s="28" t="e">
        <f t="shared" si="10"/>
        <v>#DIV/0!</v>
      </c>
      <c r="AC29" s="28" t="e">
        <f t="shared" si="11"/>
        <v>#DIV/0!</v>
      </c>
      <c r="AD29" s="28" t="e">
        <f t="shared" si="12"/>
        <v>#DIV/0!</v>
      </c>
    </row>
    <row r="30" spans="19:30" x14ac:dyDescent="0.2">
      <c r="S30" s="28" t="e">
        <f t="shared" si="1"/>
        <v>#DIV/0!</v>
      </c>
      <c r="T30" s="28" t="e">
        <f t="shared" si="2"/>
        <v>#DIV/0!</v>
      </c>
      <c r="U30" s="28" t="e">
        <f t="shared" si="3"/>
        <v>#DIV/0!</v>
      </c>
      <c r="V30" s="28" t="e">
        <f t="shared" si="4"/>
        <v>#DIV/0!</v>
      </c>
      <c r="W30" s="28" t="e">
        <f t="shared" si="5"/>
        <v>#DIV/0!</v>
      </c>
      <c r="X30" s="28" t="e">
        <f t="shared" si="6"/>
        <v>#DIV/0!</v>
      </c>
      <c r="Y30" s="28" t="e">
        <f t="shared" si="7"/>
        <v>#DIV/0!</v>
      </c>
      <c r="Z30" s="28" t="e">
        <f t="shared" si="8"/>
        <v>#DIV/0!</v>
      </c>
      <c r="AA30" s="28" t="e">
        <f t="shared" si="9"/>
        <v>#DIV/0!</v>
      </c>
      <c r="AB30" s="28" t="e">
        <f t="shared" si="10"/>
        <v>#DIV/0!</v>
      </c>
      <c r="AC30" s="28" t="e">
        <f t="shared" si="11"/>
        <v>#DIV/0!</v>
      </c>
      <c r="AD30" s="28" t="e">
        <f t="shared" si="12"/>
        <v>#DIV/0!</v>
      </c>
    </row>
    <row r="31" spans="19:30" x14ac:dyDescent="0.2">
      <c r="S31" s="28" t="e">
        <f t="shared" si="1"/>
        <v>#DIV/0!</v>
      </c>
      <c r="T31" s="28" t="e">
        <f t="shared" si="2"/>
        <v>#DIV/0!</v>
      </c>
      <c r="U31" s="28" t="e">
        <f t="shared" si="3"/>
        <v>#DIV/0!</v>
      </c>
      <c r="V31" s="28" t="e">
        <f t="shared" si="4"/>
        <v>#DIV/0!</v>
      </c>
      <c r="W31" s="28" t="e">
        <f t="shared" si="5"/>
        <v>#DIV/0!</v>
      </c>
      <c r="X31" s="28" t="e">
        <f t="shared" si="6"/>
        <v>#DIV/0!</v>
      </c>
      <c r="Y31" s="28" t="e">
        <f t="shared" si="7"/>
        <v>#DIV/0!</v>
      </c>
      <c r="Z31" s="28" t="e">
        <f t="shared" si="8"/>
        <v>#DIV/0!</v>
      </c>
      <c r="AA31" s="28" t="e">
        <f t="shared" si="9"/>
        <v>#DIV/0!</v>
      </c>
      <c r="AB31" s="28" t="e">
        <f t="shared" si="10"/>
        <v>#DIV/0!</v>
      </c>
      <c r="AC31" s="28" t="e">
        <f t="shared" si="11"/>
        <v>#DIV/0!</v>
      </c>
      <c r="AD31" s="28" t="e">
        <f t="shared" si="12"/>
        <v>#DIV/0!</v>
      </c>
    </row>
    <row r="32" spans="19:30" x14ac:dyDescent="0.2">
      <c r="S32" s="28" t="e">
        <f t="shared" si="1"/>
        <v>#DIV/0!</v>
      </c>
      <c r="T32" s="28" t="e">
        <f t="shared" si="2"/>
        <v>#DIV/0!</v>
      </c>
      <c r="U32" s="28" t="e">
        <f t="shared" si="3"/>
        <v>#DIV/0!</v>
      </c>
      <c r="V32" s="28" t="e">
        <f t="shared" si="4"/>
        <v>#DIV/0!</v>
      </c>
      <c r="W32" s="28" t="e">
        <f t="shared" si="5"/>
        <v>#DIV/0!</v>
      </c>
      <c r="X32" s="28" t="e">
        <f t="shared" si="6"/>
        <v>#DIV/0!</v>
      </c>
      <c r="Y32" s="28" t="e">
        <f t="shared" si="7"/>
        <v>#DIV/0!</v>
      </c>
      <c r="Z32" s="28" t="e">
        <f t="shared" si="8"/>
        <v>#DIV/0!</v>
      </c>
      <c r="AA32" s="28" t="e">
        <f t="shared" si="9"/>
        <v>#DIV/0!</v>
      </c>
      <c r="AB32" s="28" t="e">
        <f t="shared" si="10"/>
        <v>#DIV/0!</v>
      </c>
      <c r="AC32" s="28" t="e">
        <f t="shared" si="11"/>
        <v>#DIV/0!</v>
      </c>
      <c r="AD32" s="28" t="e">
        <f t="shared" si="12"/>
        <v>#DIV/0!</v>
      </c>
    </row>
    <row r="33" spans="19:30" x14ac:dyDescent="0.2">
      <c r="S33" s="28" t="e">
        <f t="shared" si="1"/>
        <v>#DIV/0!</v>
      </c>
      <c r="T33" s="28" t="e">
        <f t="shared" si="2"/>
        <v>#DIV/0!</v>
      </c>
      <c r="U33" s="28" t="e">
        <f t="shared" si="3"/>
        <v>#DIV/0!</v>
      </c>
      <c r="V33" s="28" t="e">
        <f t="shared" si="4"/>
        <v>#DIV/0!</v>
      </c>
      <c r="W33" s="28" t="e">
        <f t="shared" si="5"/>
        <v>#DIV/0!</v>
      </c>
      <c r="X33" s="28" t="e">
        <f t="shared" si="6"/>
        <v>#DIV/0!</v>
      </c>
      <c r="Y33" s="28" t="e">
        <f t="shared" si="7"/>
        <v>#DIV/0!</v>
      </c>
      <c r="Z33" s="28" t="e">
        <f t="shared" si="8"/>
        <v>#DIV/0!</v>
      </c>
      <c r="AA33" s="28" t="e">
        <f t="shared" si="9"/>
        <v>#DIV/0!</v>
      </c>
      <c r="AB33" s="28" t="e">
        <f t="shared" si="10"/>
        <v>#DIV/0!</v>
      </c>
      <c r="AC33" s="28" t="e">
        <f t="shared" si="11"/>
        <v>#DIV/0!</v>
      </c>
      <c r="AD33" s="28" t="e">
        <f t="shared" si="12"/>
        <v>#DIV/0!</v>
      </c>
    </row>
    <row r="34" spans="19:30" x14ac:dyDescent="0.2">
      <c r="S34" s="28" t="e">
        <f t="shared" si="1"/>
        <v>#DIV/0!</v>
      </c>
      <c r="T34" s="28" t="e">
        <f t="shared" si="2"/>
        <v>#DIV/0!</v>
      </c>
      <c r="U34" s="28" t="e">
        <f t="shared" si="3"/>
        <v>#DIV/0!</v>
      </c>
      <c r="V34" s="28" t="e">
        <f t="shared" si="4"/>
        <v>#DIV/0!</v>
      </c>
      <c r="W34" s="28" t="e">
        <f t="shared" si="5"/>
        <v>#DIV/0!</v>
      </c>
      <c r="X34" s="28" t="e">
        <f t="shared" si="6"/>
        <v>#DIV/0!</v>
      </c>
      <c r="Y34" s="28" t="e">
        <f t="shared" si="7"/>
        <v>#DIV/0!</v>
      </c>
      <c r="Z34" s="28" t="e">
        <f t="shared" si="8"/>
        <v>#DIV/0!</v>
      </c>
      <c r="AA34" s="28" t="e">
        <f t="shared" si="9"/>
        <v>#DIV/0!</v>
      </c>
      <c r="AB34" s="28" t="e">
        <f t="shared" si="10"/>
        <v>#DIV/0!</v>
      </c>
      <c r="AC34" s="28" t="e">
        <f t="shared" si="11"/>
        <v>#DIV/0!</v>
      </c>
      <c r="AD34" s="28" t="e">
        <f t="shared" si="12"/>
        <v>#DIV/0!</v>
      </c>
    </row>
    <row r="35" spans="19:30" x14ac:dyDescent="0.2">
      <c r="S35" s="28" t="e">
        <f t="shared" si="1"/>
        <v>#DIV/0!</v>
      </c>
      <c r="T35" s="28" t="e">
        <f t="shared" si="2"/>
        <v>#DIV/0!</v>
      </c>
      <c r="U35" s="28" t="e">
        <f t="shared" si="3"/>
        <v>#DIV/0!</v>
      </c>
      <c r="V35" s="28" t="e">
        <f t="shared" si="4"/>
        <v>#DIV/0!</v>
      </c>
      <c r="W35" s="28" t="e">
        <f t="shared" si="5"/>
        <v>#DIV/0!</v>
      </c>
      <c r="X35" s="28" t="e">
        <f t="shared" si="6"/>
        <v>#DIV/0!</v>
      </c>
      <c r="Y35" s="28" t="e">
        <f t="shared" si="7"/>
        <v>#DIV/0!</v>
      </c>
      <c r="Z35" s="28" t="e">
        <f t="shared" si="8"/>
        <v>#DIV/0!</v>
      </c>
      <c r="AA35" s="28" t="e">
        <f t="shared" si="9"/>
        <v>#DIV/0!</v>
      </c>
      <c r="AB35" s="28" t="e">
        <f t="shared" si="10"/>
        <v>#DIV/0!</v>
      </c>
      <c r="AC35" s="28" t="e">
        <f t="shared" si="11"/>
        <v>#DIV/0!</v>
      </c>
      <c r="AD35" s="28" t="e">
        <f t="shared" si="12"/>
        <v>#DIV/0!</v>
      </c>
    </row>
    <row r="36" spans="19:30" x14ac:dyDescent="0.2">
      <c r="S36" s="28" t="e">
        <f t="shared" si="1"/>
        <v>#DIV/0!</v>
      </c>
      <c r="T36" s="28" t="e">
        <f t="shared" si="2"/>
        <v>#DIV/0!</v>
      </c>
      <c r="U36" s="28" t="e">
        <f t="shared" si="3"/>
        <v>#DIV/0!</v>
      </c>
      <c r="V36" s="28" t="e">
        <f t="shared" si="4"/>
        <v>#DIV/0!</v>
      </c>
      <c r="W36" s="28" t="e">
        <f t="shared" si="5"/>
        <v>#DIV/0!</v>
      </c>
      <c r="X36" s="28" t="e">
        <f t="shared" si="6"/>
        <v>#DIV/0!</v>
      </c>
      <c r="Y36" s="28" t="e">
        <f t="shared" si="7"/>
        <v>#DIV/0!</v>
      </c>
      <c r="Z36" s="28" t="e">
        <f t="shared" si="8"/>
        <v>#DIV/0!</v>
      </c>
      <c r="AA36" s="28" t="e">
        <f t="shared" si="9"/>
        <v>#DIV/0!</v>
      </c>
      <c r="AB36" s="28" t="e">
        <f t="shared" si="10"/>
        <v>#DIV/0!</v>
      </c>
      <c r="AC36" s="28" t="e">
        <f t="shared" si="11"/>
        <v>#DIV/0!</v>
      </c>
      <c r="AD36" s="28" t="e">
        <f t="shared" si="12"/>
        <v>#DIV/0!</v>
      </c>
    </row>
    <row r="37" spans="19:30" x14ac:dyDescent="0.2">
      <c r="S37" s="28" t="e">
        <f t="shared" si="1"/>
        <v>#DIV/0!</v>
      </c>
      <c r="T37" s="28" t="e">
        <f t="shared" si="2"/>
        <v>#DIV/0!</v>
      </c>
      <c r="U37" s="28" t="e">
        <f t="shared" si="3"/>
        <v>#DIV/0!</v>
      </c>
      <c r="V37" s="28" t="e">
        <f t="shared" si="4"/>
        <v>#DIV/0!</v>
      </c>
      <c r="W37" s="28" t="e">
        <f t="shared" si="5"/>
        <v>#DIV/0!</v>
      </c>
      <c r="X37" s="28" t="e">
        <f t="shared" si="6"/>
        <v>#DIV/0!</v>
      </c>
      <c r="Y37" s="28" t="e">
        <f t="shared" si="7"/>
        <v>#DIV/0!</v>
      </c>
      <c r="Z37" s="28" t="e">
        <f t="shared" si="8"/>
        <v>#DIV/0!</v>
      </c>
      <c r="AA37" s="28" t="e">
        <f t="shared" si="9"/>
        <v>#DIV/0!</v>
      </c>
      <c r="AB37" s="28" t="e">
        <f t="shared" si="10"/>
        <v>#DIV/0!</v>
      </c>
      <c r="AC37" s="28" t="e">
        <f t="shared" si="11"/>
        <v>#DIV/0!</v>
      </c>
      <c r="AD37" s="28" t="e">
        <f t="shared" si="12"/>
        <v>#DIV/0!</v>
      </c>
    </row>
    <row r="38" spans="19:30" x14ac:dyDescent="0.2">
      <c r="S38" s="28" t="e">
        <f t="shared" si="1"/>
        <v>#DIV/0!</v>
      </c>
      <c r="T38" s="28" t="e">
        <f t="shared" si="2"/>
        <v>#DIV/0!</v>
      </c>
      <c r="U38" s="28" t="e">
        <f t="shared" si="3"/>
        <v>#DIV/0!</v>
      </c>
      <c r="V38" s="28" t="e">
        <f t="shared" si="4"/>
        <v>#DIV/0!</v>
      </c>
      <c r="W38" s="28" t="e">
        <f t="shared" si="5"/>
        <v>#DIV/0!</v>
      </c>
      <c r="X38" s="28" t="e">
        <f t="shared" si="6"/>
        <v>#DIV/0!</v>
      </c>
      <c r="Y38" s="28" t="e">
        <f t="shared" si="7"/>
        <v>#DIV/0!</v>
      </c>
      <c r="Z38" s="28" t="e">
        <f t="shared" si="8"/>
        <v>#DIV/0!</v>
      </c>
      <c r="AA38" s="28" t="e">
        <f t="shared" si="9"/>
        <v>#DIV/0!</v>
      </c>
      <c r="AB38" s="28" t="e">
        <f t="shared" si="10"/>
        <v>#DIV/0!</v>
      </c>
      <c r="AC38" s="28" t="e">
        <f t="shared" si="11"/>
        <v>#DIV/0!</v>
      </c>
      <c r="AD38" s="28" t="e">
        <f t="shared" si="12"/>
        <v>#DIV/0!</v>
      </c>
    </row>
    <row r="39" spans="19:30" x14ac:dyDescent="0.2">
      <c r="S39" s="28" t="e">
        <f t="shared" si="1"/>
        <v>#DIV/0!</v>
      </c>
      <c r="T39" s="28" t="e">
        <f t="shared" si="2"/>
        <v>#DIV/0!</v>
      </c>
      <c r="U39" s="28" t="e">
        <f t="shared" si="3"/>
        <v>#DIV/0!</v>
      </c>
      <c r="V39" s="28" t="e">
        <f t="shared" si="4"/>
        <v>#DIV/0!</v>
      </c>
      <c r="W39" s="28" t="e">
        <f t="shared" si="5"/>
        <v>#DIV/0!</v>
      </c>
      <c r="X39" s="28" t="e">
        <f t="shared" si="6"/>
        <v>#DIV/0!</v>
      </c>
      <c r="Y39" s="28" t="e">
        <f t="shared" si="7"/>
        <v>#DIV/0!</v>
      </c>
      <c r="Z39" s="28" t="e">
        <f t="shared" si="8"/>
        <v>#DIV/0!</v>
      </c>
      <c r="AA39" s="28" t="e">
        <f t="shared" si="9"/>
        <v>#DIV/0!</v>
      </c>
      <c r="AB39" s="28" t="e">
        <f t="shared" si="10"/>
        <v>#DIV/0!</v>
      </c>
      <c r="AC39" s="28" t="e">
        <f t="shared" si="11"/>
        <v>#DIV/0!</v>
      </c>
      <c r="AD39" s="28" t="e">
        <f t="shared" si="12"/>
        <v>#DIV/0!</v>
      </c>
    </row>
    <row r="40" spans="19:30" x14ac:dyDescent="0.2">
      <c r="S40" s="28" t="e">
        <f t="shared" si="1"/>
        <v>#DIV/0!</v>
      </c>
      <c r="T40" s="28" t="e">
        <f t="shared" si="2"/>
        <v>#DIV/0!</v>
      </c>
      <c r="U40" s="28" t="e">
        <f t="shared" si="3"/>
        <v>#DIV/0!</v>
      </c>
      <c r="V40" s="28" t="e">
        <f t="shared" si="4"/>
        <v>#DIV/0!</v>
      </c>
      <c r="W40" s="28" t="e">
        <f t="shared" si="5"/>
        <v>#DIV/0!</v>
      </c>
      <c r="X40" s="28" t="e">
        <f t="shared" si="6"/>
        <v>#DIV/0!</v>
      </c>
      <c r="Y40" s="28" t="e">
        <f t="shared" si="7"/>
        <v>#DIV/0!</v>
      </c>
      <c r="Z40" s="28" t="e">
        <f t="shared" si="8"/>
        <v>#DIV/0!</v>
      </c>
      <c r="AA40" s="28" t="e">
        <f t="shared" si="9"/>
        <v>#DIV/0!</v>
      </c>
      <c r="AB40" s="28" t="e">
        <f t="shared" si="10"/>
        <v>#DIV/0!</v>
      </c>
      <c r="AC40" s="28" t="e">
        <f t="shared" si="11"/>
        <v>#DIV/0!</v>
      </c>
      <c r="AD40" s="28" t="e">
        <f t="shared" si="12"/>
        <v>#DIV/0!</v>
      </c>
    </row>
    <row r="41" spans="19:30" x14ac:dyDescent="0.2">
      <c r="S41" s="28" t="e">
        <f t="shared" si="1"/>
        <v>#DIV/0!</v>
      </c>
      <c r="T41" s="28" t="e">
        <f t="shared" si="2"/>
        <v>#DIV/0!</v>
      </c>
      <c r="U41" s="28" t="e">
        <f t="shared" si="3"/>
        <v>#DIV/0!</v>
      </c>
      <c r="V41" s="28" t="e">
        <f t="shared" si="4"/>
        <v>#DIV/0!</v>
      </c>
      <c r="W41" s="28" t="e">
        <f t="shared" si="5"/>
        <v>#DIV/0!</v>
      </c>
      <c r="X41" s="28" t="e">
        <f t="shared" si="6"/>
        <v>#DIV/0!</v>
      </c>
      <c r="Y41" s="28" t="e">
        <f t="shared" si="7"/>
        <v>#DIV/0!</v>
      </c>
      <c r="Z41" s="28" t="e">
        <f t="shared" si="8"/>
        <v>#DIV/0!</v>
      </c>
      <c r="AA41" s="28" t="e">
        <f t="shared" si="9"/>
        <v>#DIV/0!</v>
      </c>
      <c r="AB41" s="28" t="e">
        <f t="shared" si="10"/>
        <v>#DIV/0!</v>
      </c>
      <c r="AC41" s="28" t="e">
        <f t="shared" si="11"/>
        <v>#DIV/0!</v>
      </c>
      <c r="AD41" s="28" t="e">
        <f t="shared" si="12"/>
        <v>#DIV/0!</v>
      </c>
    </row>
  </sheetData>
  <mergeCells count="8">
    <mergeCell ref="C8:R8"/>
    <mergeCell ref="C9:R9"/>
    <mergeCell ref="B1:R1"/>
    <mergeCell ref="G2:R2"/>
    <mergeCell ref="S2:AD2"/>
    <mergeCell ref="C7:D7"/>
    <mergeCell ref="G7:L7"/>
    <mergeCell ref="M7:R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Sistem Informasi Pemerintahan Daerah - Penatausahaan</dc:title>
  <dc:creator>IT - Hamid Septian</dc:creator>
  <cp:lastModifiedBy>IT - Hamid Septian</cp:lastModifiedBy>
  <dcterms:created xsi:type="dcterms:W3CDTF">2025-12-16T04:19:25Z</dcterms:created>
  <dcterms:modified xsi:type="dcterms:W3CDTF">2025-12-18T02:21:00Z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2025-10-13T00:00:00Z</vt:filetime>
  </property>
  <property fmtid="{D5CDD505-2E9C-101B-9397-08002B2CF9AE}" pid="3" name="Creator">
    <vt:lpwstr>Mozilla/5.0 (Windows NT 10.0; Win64; x64) AppleWebKit/537.36 (KHTML, like Gecko) Chrome/141.0.0.0 Safari/537.36</vt:lpwstr>
  </property>
  <property fmtid="{D5CDD505-2E9C-101B-9397-08002B2CF9AE}" pid="4" name="LastSaved">
    <vt:filetime>2025-12-16T00:00:00Z</vt:filetime>
  </property>
  <property fmtid="{D5CDD505-2E9C-101B-9397-08002B2CF9AE}" pid="5" name="Producer">
    <vt:lpwstr>Skia/PDF m141</vt:lpwstr>
  </property>
</Properties>
</file>